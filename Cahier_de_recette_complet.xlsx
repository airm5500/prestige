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orisation" r:id="rId3" sheetId="1"/>
    <sheet name="Deconditionnement - Vente detai" r:id="rId4" sheetId="2"/>
  </sheets>
  <definedNames>
    <definedName name="_xlnm.Print_Titles" localSheetId="0">Valorisation!$4:$4</definedName>
    <definedName name="_xlnm.Print_Titles" localSheetId="1">'Deconditionnement - Vente detai'!$4:$4</definedName>
  </definedNames>
</workbook>
</file>

<file path=xl/sharedStrings.xml><?xml version="1.0" encoding="utf-8"?>
<sst xmlns="http://schemas.openxmlformats.org/spreadsheetml/2006/main" count="419" uniqueCount="357">
  <si>
    <t>CAHIER DE RECETTE - VALORISATION HISTORIQUE DU STOCK</t>
  </si>
  <si>
    <t>Prestige - branche valorisationstory - migrations V6.9.1 a V6.9.3 - remplacement de l'archive JSON stock_snapshot par le releve relationnel stock_snapshot_day. A remplir : colonnes Resultat obtenu, Statut (OK/KO/N/A/Non teste) et Testeur/Date. Les phases se recettent dans l'ordre.</t>
  </si>
  <si>
    <t>N</t>
  </si>
  <si>
    <t>Section</t>
  </si>
  <si>
    <t>Objet du controle</t>
  </si>
  <si>
    <t>Pre-requis</t>
  </si>
  <si>
    <t>Mode operatoire</t>
  </si>
  <si>
    <t>Resultat attendu</t>
  </si>
  <si>
    <t>Resultat obtenu</t>
  </si>
  <si>
    <t>Statut</t>
  </si>
  <si>
    <t>Testeur / Date</t>
  </si>
  <si>
    <t>A - PRE-REQUIS TECHNIQUES</t>
  </si>
  <si>
    <t>1.0</t>
  </si>
  <si>
    <t>Build</t>
  </si>
  <si>
    <t>Compilation du projet</t>
  </si>
  <si>
    <t>Depot a jour, lib/ present</t>
  </si>
  <si>
    <t>mvn clean compile</t>
  </si>
  <si>
    <t>BUILD SUCCESS, aucune erreur de compilation</t>
  </si>
  <si>
    <t>2.0</t>
  </si>
  <si>
    <t>Tests automatises</t>
  </si>
  <si>
    <t>Compilation reussie</t>
  </si>
  <si>
    <t>mvn test</t>
  </si>
  <si>
    <t>Suite verte : 0 echec, 0 erreur</t>
  </si>
  <si>
    <t>3.0</t>
  </si>
  <si>
    <t>Deploiement</t>
  </si>
  <si>
    <t>Migrations Flyway jouees</t>
  </si>
  <si>
    <t>WAR deploye sur Payara</t>
  </si>
  <si>
    <t>Consulter flyway_schema_history et les logs de demarrage</t>
  </si>
  <si>
    <t>V6.9.1 a V6.9.3 en succes ; tables stock_snapshot_day et stock_snapshot_backfill creees</t>
  </si>
  <si>
    <t>4.0</t>
  </si>
  <si>
    <t>Parametres crees</t>
  </si>
  <si>
    <t>V6.9.2 jouee</t>
  </si>
  <si>
    <t>SELECT str_KEY, str_VALUE FROM t_parameters WHERE str_KEY LIKE 'KEY_VALORISATION%'</t>
  </si>
  <si>
    <t>SOURCE=JSON, ECRITURE_JSON=1, RETENTION_JOURS=90</t>
  </si>
  <si>
    <t>B - CORRECTIFS IMMEDIATS (comportement inchange pour l'utilisateur)</t>
  </si>
  <si>
    <t>5.0</t>
  </si>
  <si>
    <t>Logs</t>
  </si>
  <si>
    <t>Fin des erreurs SQL 1064</t>
  </si>
  <si>
    <t>Serveur redemarre</t>
  </si>
  <si>
    <t>Afficher une valorisation a une date passee, puis relire le journal du serveur</t>
  </si>
  <si>
    <t>Aucune erreur 1064 ni trace JSON_TABLE ; un seul message INFO au premier affichage indiquant la version de la base</t>
  </si>
  <si>
    <t>6.0</t>
  </si>
  <si>
    <t>Supervision</t>
  </si>
  <si>
    <t>Fin de la fausse alerte snapshot</t>
  </si>
  <si>
    <t>Un releve de nuit termine</t>
  </si>
  <si>
    <t>Attendre 2 passages du moniteur et verifier t_support_job_run</t>
  </si>
  <si>
    <t>Ligne SNAPSHOT_STOCK a jour ; plus aucune alerte "aucun passage trouve"</t>
  </si>
  <si>
    <t>7.0</t>
  </si>
  <si>
    <t>Affichage</t>
  </si>
  <si>
    <t>Montants superieurs a 2,1 milliards</t>
  </si>
  <si>
    <t>Stock valorise eleve</t>
  </si>
  <si>
    <t>Afficher la valorisation totale (rayon + reserve)</t>
  </si>
  <si>
    <t>Montant juste et positif ; aucune valeur tronquee ni negative</t>
  </si>
  <si>
    <t>8.0</t>
  </si>
  <si>
    <t>Releve</t>
  </si>
  <si>
    <t>Pas de reecriture au redemarrage</t>
  </si>
  <si>
    <t>Journee du jour deja relevee</t>
  </si>
  <si>
    <t>Redemarrer Payara en pleine journee, comparer les quantites avant/apres</t>
  </si>
  <si>
    <t>Quantites inchangees ; log "Journee deja relevee : releve ignore au demarrage"</t>
  </si>
  <si>
    <t>9.0</t>
  </si>
  <si>
    <t>Caisses</t>
  </si>
  <si>
    <t>Aucun blocage pendant le releve</t>
  </si>
  <si>
    <t>Releve de nuit planifie</t>
  </si>
  <si>
    <t>Saisir des ventes pendant le releve de 00:05 (ou le declencher)</t>
  </si>
  <si>
    <t>Ventes enregistrees normalement ; aucun blocage, aucun lock wait timeout</t>
  </si>
  <si>
    <t>10.0</t>
  </si>
  <si>
    <t>Procedure stockee plus appelee</t>
  </si>
  <si>
    <t>Serveur redemarre en journee</t>
  </si>
  <si>
    <t>Redemarrer le serveur pendant les ventes et surveiller les caisses</t>
  </si>
  <si>
    <t>Aucun ralentissement ni blocage ; t_stock_snapshot reste vide</t>
  </si>
  <si>
    <t>C - RELEVE RELATIONNEL ET REPRISE DE L'HISTORIQUE</t>
  </si>
  <si>
    <t>11.0</t>
  </si>
  <si>
    <t>Alimentation quotidienne</t>
  </si>
  <si>
    <t>Une nuit passee apres deploiement</t>
  </si>
  <si>
    <t>SELECT COUNT(*) FROM stock_snapshot_day WHERE stock_of_day = &lt;hier&gt;</t>
  </si>
  <si>
    <t>Nombre de lignes proche du nombre de produits actifs</t>
  </si>
  <si>
    <t>12.0</t>
  </si>
  <si>
    <t>Idempotence du releve</t>
  </si>
  <si>
    <t>Journee deja relevee</t>
  </si>
  <si>
    <t>Relancer le releve pour la meme date, recompter les lignes</t>
  </si>
  <si>
    <t>Nombre de lignes identique ; valeurs mises a jour, aucun doublon</t>
  </si>
  <si>
    <t>13.0</t>
  </si>
  <si>
    <t>Double ecriture maintenue</t>
  </si>
  <si>
    <t>ECRITURE_JSON = 1</t>
  </si>
  <si>
    <t>Verifier qu'une entree du jour existe aussi dans stock_snapshot.stock_journalier</t>
  </si>
  <si>
    <t>Les deux sources contiennent la journee : retour arriere possible</t>
  </si>
  <si>
    <t>14.0</t>
  </si>
  <si>
    <t>Isolation de la table neuve</t>
  </si>
  <si>
    <t>Base de test uniquement</t>
  </si>
  <si>
    <t>Renommer stock_snapshot_day, lancer le releve, retablir</t>
  </si>
  <si>
    <t>Le releve JSON aboutit malgre l'echec ; avertissement journalise, traitement non interrompu</t>
  </si>
  <si>
    <t>15.0</t>
  </si>
  <si>
    <t>Reprise</t>
  </si>
  <si>
    <t>Execution de la reprise</t>
  </si>
  <si>
    <t>Historique JSON present</t>
  </si>
  <si>
    <t>Attendre 01:30 puis SELECT * FROM stock_snapshot_backfill</t>
  </si>
  <si>
    <t>termine=1 ; documents_lus et lignes_importees renseignes ; documents_invalides a 0</t>
  </si>
  <si>
    <t>16.0</t>
  </si>
  <si>
    <t>Reprise apres interruption</t>
  </si>
  <si>
    <t>Reprise non terminee</t>
  </si>
  <si>
    <t>Remettre termine=0, lancer, arreter le serveur en cours, redemarrer</t>
  </si>
  <si>
    <t>La reprise repart du dernier produit traite ; aucune ligne perdue ni dupliquee</t>
  </si>
  <si>
    <t>17.0</t>
  </si>
  <si>
    <t>Journees effectivement reprises</t>
  </si>
  <si>
    <t>Reprise terminee</t>
  </si>
  <si>
    <t>SELECT DISTINCT stock_of_day FROM stock_snapshot_day ORDER BY 1</t>
  </si>
  <si>
    <t>Uniquement les 90 derniers jours et, pour chaque mois anterieur, sa 1re et sa derniere journee relevee</t>
  </si>
  <si>
    <t>18.0</t>
  </si>
  <si>
    <t>Taux de TVA</t>
  </si>
  <si>
    <t>Reprise terminee et une nuit passee</t>
  </si>
  <si>
    <t>Comparer valeur_tva sur une journee reprise et une journee relevee recente</t>
  </si>
  <si>
    <t>0 sur les lignes reprises (JSON sans taux), taux reel sur les lignes recentes</t>
  </si>
  <si>
    <t>D - VALIDATION AVANT BASCULE (ecarts a zero exiges)</t>
  </si>
  <si>
    <t>19.0</t>
  </si>
  <si>
    <t>Comparaison</t>
  </si>
  <si>
    <t>Date recente</t>
  </si>
  <si>
    <t>SOURCE = JSON</t>
  </si>
  <si>
    <t>GET /api/v1/produit/valorisation/comparaison?dtStart=&lt;J-2&gt;&amp;mode=2&amp;typeStock=1</t>
  </si>
  <si>
    <t>identique=true ; les quatre ecarts a 0 ; lignesReleve non nul</t>
  </si>
  <si>
    <t>20.0</t>
  </si>
  <si>
    <t>Fin de mois</t>
  </si>
  <si>
    <t>Rejouer l'appel sur la derniere journee relevee d'un mois clos</t>
  </si>
  <si>
    <t>identique=true ; ecarts a 0</t>
  </si>
  <si>
    <t>21.0</t>
  </si>
  <si>
    <t>Mois avec fermeture</t>
  </si>
  <si>
    <t>Un mois avec fermeture en fin de mois</t>
  </si>
  <si>
    <t>Rejouer l'appel sur la derniere journee relevee de ce mois</t>
  </si>
  <si>
    <t>identique=true ; la journee existe bien dans le releve</t>
  </si>
  <si>
    <t>22.0</t>
  </si>
  <si>
    <t>Les trois modes</t>
  </si>
  <si>
    <t>Rejouer avec mode=1 (famille), 2 (rayon), 3 (grossiste)</t>
  </si>
  <si>
    <t>identique=true pour les trois modes</t>
  </si>
  <si>
    <t>23.0</t>
  </si>
  <si>
    <t>Les trois types de stock</t>
  </si>
  <si>
    <t>Rejouer avec typeStock=1 (rayon), 2 (reserve), 0 (total)</t>
  </si>
  <si>
    <t>identique=true pour les trois types</t>
  </si>
  <si>
    <t>24.0</t>
  </si>
  <si>
    <t>Filtre sur une selection</t>
  </si>
  <si>
    <t>Rejouer en ciblant un rayon, puis plusieurs rayons</t>
  </si>
  <si>
    <t>identique=true ; montants filtres coherents avec le total</t>
  </si>
  <si>
    <t>E - BASCULE DE LA LECTURE</t>
  </si>
  <si>
    <t>25.0</t>
  </si>
  <si>
    <t>Bascule</t>
  </si>
  <si>
    <t>Activation du releve</t>
  </si>
  <si>
    <t>Etape D sans ecart</t>
  </si>
  <si>
    <t>Passer KEY_VALORISATION_SOURCE a TABLE</t>
  </si>
  <si>
    <t>Les ecrans affichent les memes montants qu'avant la bascule</t>
  </si>
  <si>
    <t>26.0</t>
  </si>
  <si>
    <t>Performance</t>
  </si>
  <si>
    <t>Temps de reponse historique</t>
  </si>
  <si>
    <t>SOURCE = TABLE</t>
  </si>
  <si>
    <t>Afficher une valorisation a une date passee, relever le temps (onglet Reseau)</t>
  </si>
  <si>
    <t>Reponse tres inferieure a la seconde, contre ~13 s avant la migration</t>
  </si>
  <si>
    <t>27.0</t>
  </si>
  <si>
    <t>Exports</t>
  </si>
  <si>
    <t>Etat PDF historique</t>
  </si>
  <si>
    <t>Editer le PDF de valorisation pour une date passee, rayon puis total</t>
  </si>
  <si>
    <t>Etat complet et chiffre ; il etait vide avant la bascule</t>
  </si>
  <si>
    <t>28.0</t>
  </si>
  <si>
    <t>Ventilation par TVA</t>
  </si>
  <si>
    <t>Comparer la ventilation par taux d'une date recente entre les deux sources</t>
  </si>
  <si>
    <t>Memes taux et memes montants</t>
  </si>
  <si>
    <t>29.0</t>
  </si>
  <si>
    <t>Retour arriere</t>
  </si>
  <si>
    <t>Retour au JSON</t>
  </si>
  <si>
    <t>Repasser SOURCE a JSON sans redemarrer ni redeployer, reafficher</t>
  </si>
  <si>
    <t>Lecture JSON immediatement retablie, aucune donnee perdue</t>
  </si>
  <si>
    <t>F - RETENTION ET PURGE</t>
  </si>
  <si>
    <t>30.0</t>
  </si>
  <si>
    <t>Purge</t>
  </si>
  <si>
    <t>Fenetre glissante conservee</t>
  </si>
  <si>
    <t>Base de test avec plusieurs mois</t>
  </si>
  <si>
    <t>Declencher la purge, lister les journees restantes</t>
  </si>
  <si>
    <t>Toutes les journees des 90 derniers jours conservees</t>
  </si>
  <si>
    <t>31.0</t>
  </si>
  <si>
    <t>Cloture d'un mois incomplet</t>
  </si>
  <si>
    <t>Mois ou 30 et 31 non releves</t>
  </si>
  <si>
    <t>Verifier que la derniere journee relevee du mois subsiste apres purge</t>
  </si>
  <si>
    <t>La journee est conservee : elle vaut cloture du mois</t>
  </si>
  <si>
    <t>32.0</t>
  </si>
  <si>
    <t>Cloture de fevrier</t>
  </si>
  <si>
    <t>Un fevrier dans l'historique</t>
  </si>
  <si>
    <t>Verifier la presence du 28 (ou 29) apres purge</t>
  </si>
  <si>
    <t>La derniere journee relevee de fevrier est conservee</t>
  </si>
  <si>
    <t>33.0</t>
  </si>
  <si>
    <t>Refus si releve obsolete</t>
  </si>
  <si>
    <t>Base de test</t>
  </si>
  <si>
    <t>Supprimer les 8 derniers jours puis declencher la purge</t>
  </si>
  <si>
    <t>Aucune suppression ; avertissement "aucun releve recent"</t>
  </si>
  <si>
    <t>34.0</t>
  </si>
  <si>
    <t>Absence de blocage</t>
  </si>
  <si>
    <t>Plusieurs centaines de milliers de lignes</t>
  </si>
  <si>
    <t>Declencher la purge et saisir des ventes en parallele</t>
  </si>
  <si>
    <t>Ventes normales ; suppression par tranches, aucun verrou long</t>
  </si>
  <si>
    <t>35.0</t>
  </si>
  <si>
    <t>Passage declare au support</t>
  </si>
  <si>
    <t>Purge executee</t>
  </si>
  <si>
    <t>SELECT * FROM t_support_job_run WHERE code='PURGE_VALORISATION'</t>
  </si>
  <si>
    <t>last_run_at a jour ; aucune alerte de job en retard</t>
  </si>
  <si>
    <t>36.0</t>
  </si>
  <si>
    <t>Archive</t>
  </si>
  <si>
    <t>Arret de l'ecriture JSON</t>
  </si>
  <si>
    <t>SOURCE=TABLE depuis plusieurs semaines</t>
  </si>
  <si>
    <t>Passer ECRITURE_JSON a 0 puis observer le releve suivant</t>
  </si>
  <si>
    <t>stock_snapshot n'est plus alimente ; stock_snapshot_day l'est ; duree du releve reduite</t>
  </si>
  <si>
    <t>37.0</t>
  </si>
  <si>
    <t>Retrait de la table JSON</t>
  </si>
  <si>
    <t>Sauvegarde restauree et testee</t>
  </si>
  <si>
    <t>Renommer stock_snapshot en stock_snapshot_json_archive</t>
  </si>
  <si>
    <t>Aucun ecran ni export en erreur ; operation manuelle et tracee</t>
  </si>
  <si>
    <t>SYNTHESE</t>
  </si>
  <si>
    <t>Controles au total</t>
  </si>
  <si>
    <t>Conformes (OK)</t>
  </si>
  <si>
    <t>Non conformes (KO)</t>
  </si>
  <si>
    <t>Sans objet (N/A)</t>
  </si>
  <si>
    <t>Decision de recette :   [ ] Acceptee     [ ] Acceptee avec reserves     [ ] Refusee        Responsable : __________________     Date : ____/____/______</t>
  </si>
  <si>
    <t>CAHIER DE RECETTE - DECONDITIONNEMENT DES PRODUITS DETAIL</t>
  </si>
  <si>
    <t>Prestige - branche valorisationstory - vente/validation d'un produit detail avec deconditionnement automatique, garde a la saisie et modification, re-controle du panier, concurrence, fiche des mouvements (probleme 204) et validation des entrees. A jouer sur base de TEST.</t>
  </si>
  <si>
    <t>1 - VENTE D'UN PRODUIT DETAIL AVEC DECONDITIONNEMENT AUTOMATIQUE</t>
  </si>
  <si>
    <t>1.1</t>
  </si>
  <si>
    <t>Vente</t>
  </si>
  <si>
    <t>Vente couverte par le rayon</t>
  </si>
  <si>
    <t>Stock rayon suffisant</t>
  </si>
  <si>
    <t>Vendre une quantite &lt;= stock rayon et valider</t>
  </si>
  <si>
    <t>Vente acceptee sans popup de deconditionnement ; stock rayon diminue de la quantite vendue</t>
  </si>
  <si>
    <t>1.2</t>
  </si>
  <si>
    <t>Vente declenchant un deconditionnement</t>
  </si>
  <si>
    <t>4 en rayon, 1 boite de 100</t>
  </si>
  <si>
    <t>Vendre 5, repondre Oui au popup, valider</t>
  </si>
  <si>
    <t>Une boite deconditionnee ; stock final detail = 99, boite = 0 ; aucun stock negatif</t>
  </si>
  <si>
    <t>1.3</t>
  </si>
  <si>
    <t>Vente du stock vendable EXACT</t>
  </si>
  <si>
    <t>0 en rayon, 1 boite de 100</t>
  </si>
  <si>
    <t>Saisir 100, repondre Oui au popup</t>
  </si>
  <si>
    <t>Vente ACCEPTEE (non-regression du refus &lt; strict qui bloquait le dernier detail)</t>
  </si>
  <si>
    <t>1.4</t>
  </si>
  <si>
    <t>Vente au-dela du stock vendable</t>
  </si>
  <si>
    <t>Saisir 101</t>
  </si>
  <si>
    <t>Refus "Le stock est insuffisant" ; rien n'est ajoute</t>
  </si>
  <si>
    <t>2 - GARDE A LA SAISIE ET A LA MODIFICATION DE LIGNE</t>
  </si>
  <si>
    <t>2.1</t>
  </si>
  <si>
    <t>Saisie</t>
  </si>
  <si>
    <t>Ajout au-dela du vendable (FORCER_STOCK=1)</t>
  </si>
  <si>
    <t>Forcage de stock actif</t>
  </si>
  <si>
    <t>Ajouter un produit detail en quantite &gt; stock vendable</t>
  </si>
  <si>
    <t>Refus "Stock insuffisant pour &lt;produit&gt; : plus aucune boite a deconditionner" ; le forcage ne s'applique pas au detail</t>
  </si>
  <si>
    <t>2.2</t>
  </si>
  <si>
    <t>Modification</t>
  </si>
  <si>
    <t>Modifier la quantite d'une ligne du panier</t>
  </si>
  <si>
    <t>1 ligne detail au panier</t>
  </si>
  <si>
    <t>Porter la quantite au vendable exact</t>
  </si>
  <si>
    <t>Modification acceptee jusqu'au vendable exact</t>
  </si>
  <si>
    <t>2.3</t>
  </si>
  <si>
    <t>Modifier au-dela du vendable</t>
  </si>
  <si>
    <t>Meme ligne</t>
  </si>
  <si>
    <t>Porter la quantite a vendable + 1</t>
  </si>
  <si>
    <t>Refus (message nommant le produit) ; la ligne reste a sa valeur precedente ; total et net recalcules</t>
  </si>
  <si>
    <t>2.4</t>
  </si>
  <si>
    <t>Ajout cumule du meme produit</t>
  </si>
  <si>
    <t>Produit deja au vendable</t>
  </si>
  <si>
    <t>Ajouter a nouveau le meme produit</t>
  </si>
  <si>
    <t>Refus : le cumul depasse le vendable ; la ligne reste inchangee</t>
  </si>
  <si>
    <t>2.5</t>
  </si>
  <si>
    <t>Pre-controle</t>
  </si>
  <si>
    <t>Blocage AVANT l'appel serveur</t>
  </si>
  <si>
    <t>Produit detail au panier</t>
  </si>
  <si>
    <t>Modifier au-dela du vendable et observer le reseau (F12)</t>
  </si>
  <si>
    <t>Aucun appel a update/item/vno ; message immediat ; la grille garde la valeur precedente</t>
  </si>
  <si>
    <t>2.6</t>
  </si>
  <si>
    <t>Ergonomie</t>
  </si>
  <si>
    <t>Focus apres refus</t>
  </si>
  <si>
    <t>Refus de modification affiche</t>
  </si>
  <si>
    <t>Cliquer OK sur le message d'erreur</t>
  </si>
  <si>
    <t>Le curseur revient dans le champ quantite (QD) avec la valeur preselectionnee</t>
  </si>
  <si>
    <t>3 - RE-CONTROLE A L'OUVERTURE DU PANIER</t>
  </si>
  <si>
    <t>3.1</t>
  </si>
  <si>
    <t>Vente en attente encore couverte</t>
  </si>
  <si>
    <t>Vente detail mise en attente</t>
  </si>
  <si>
    <t>Rouvrir la vente sans que le stock ait change</t>
  </si>
  <si>
    <t>Aucun avertissement ; la vente s'ouvre normalement</t>
  </si>
  <si>
    <t>3.2</t>
  </si>
  <si>
    <t>Reprise apres disparition de la boite</t>
  </si>
  <si>
    <t>Vente de 60 details (1 boite)</t>
  </si>
  <si>
    <t>Une autre caisse vend la boite, puis rouvrir la vente</t>
  </si>
  <si>
    <t>Avertissement immediat "Stock insuffisant pour &lt;produit&gt;..." a l'ouverture</t>
  </si>
  <si>
    <t>4 - VALIDATION (DERNIERE BARRIERE) ET CONCURRENCE</t>
  </si>
  <si>
    <t>4.1</t>
  </si>
  <si>
    <t>Validation</t>
  </si>
  <si>
    <t>Validation d'une vente devenue non couverte</t>
  </si>
  <si>
    <t>Stock vendable disparu apres l'ajout</t>
  </si>
  <si>
    <t>Cliquer Terminer la vente</t>
  </si>
  <si>
    <t>Refus "Impossible de valider la vente : stock insuffisant..." ; stocks intacts ; vente toujours en cours</t>
  </si>
  <si>
    <t>4.2</t>
  </si>
  <si>
    <t>Concurrence</t>
  </si>
  <si>
    <t>Deux caisses se disputent la derniere boite</t>
  </si>
  <si>
    <t>2 ventes de 60 details, 1 boite de 100</t>
  </si>
  <si>
    <t>Valider les deux en meme temps</t>
  </si>
  <si>
    <t>Une seule validation reussit (verrou @Version) ; stock 40/0, jamais negatif, jamais deux clotures</t>
  </si>
  <si>
    <t>4.3</t>
  </si>
  <si>
    <t>Retry de la vente perdante</t>
  </si>
  <si>
    <t>Vente perdue au cas 4.2</t>
  </si>
  <si>
    <t>Rejouer la validation de la vente perdue</t>
  </si>
  <si>
    <t>Refus metier clair si le restant ne suffit plus, ou succes si le stock restant couvre encore</t>
  </si>
  <si>
    <t>5 - FICHE DES MOUVEMENTS DE L'ARTICLE (probleme 204)</t>
  </si>
  <si>
    <t>5.1</t>
  </si>
  <si>
    <t>Fiche</t>
  </si>
  <si>
    <t>Ligne decon corrompue en base</t>
  </si>
  <si>
    <t>Scenario reproduction_204 injecte</t>
  </si>
  <si>
    <t>Ouvrir la FICHE DES MOUVEMENTS, periode 19-&gt;21/08</t>
  </si>
  <si>
    <t>Le 20/08 affiche Stock=99 (et non 204) ; chaine coherente 18 -&gt; 11 -&gt; 99 -&gt; 92</t>
  </si>
  <si>
    <t>5.2</t>
  </si>
  <si>
    <t>Vente reelle avec decon : lignes ecrites</t>
  </si>
  <si>
    <t>Vente detail avec decon, relire hmvtproduit du jour</t>
  </si>
  <si>
    <t>Ligne decon 4 -&gt; 104 (et non 104 -&gt; 204) ; ligne vente 4 -&gt; 99 ; fiche du jour = 99</t>
  </si>
  <si>
    <t>5.3</t>
  </si>
  <si>
    <t>Correction</t>
  </si>
  <si>
    <t>Correction de l'historique existant</t>
  </si>
  <si>
    <t>Copie de base + sauvegarde hmvtproduit</t>
  </si>
  <si>
    <t>Jouer correction_204 : etape 1 (liste), etape 2 (UPDATE), etape 1</t>
  </si>
  <si>
    <t>L'UPDATE corrige les lignes gonflees (204 -&gt; 104) ; etape 1 rejouee renvoie 0 ligne (idempotent)</t>
  </si>
  <si>
    <t>5.4</t>
  </si>
  <si>
    <t>Non-regression du script de correction</t>
  </si>
  <si>
    <t>Base avec decon sains et manuels</t>
  </si>
  <si>
    <t>Verifier qu'une decon 4-&gt;104 et une decon manuelle 50-&gt;150 ne sont pas detectees</t>
  </si>
  <si>
    <t>Aucune de ces lignes modifiee : la signature ne matche que le gonflement du bug</t>
  </si>
  <si>
    <t>6 - VALIDATION DES ENTREES (tests negatifs)</t>
  </si>
  <si>
    <t>6.1</t>
  </si>
  <si>
    <t>Entrees</t>
  </si>
  <si>
    <t>Quantite nulle ou negative</t>
  </si>
  <si>
    <t>API vente accessible</t>
  </si>
  <si>
    <t>POST add/vno avec qte=0 puis qte=-3</t>
  </si>
  <si>
    <t>Refus "La quantite doit etre au moins egale a 1" ; aucune ligne aberrante creee, aucun stock qui remonte</t>
  </si>
  <si>
    <t>6.2</t>
  </si>
  <si>
    <t>Saisies invalides diverses</t>
  </si>
  <si>
    <t>Envoyer produitId inexistant/vide, itemPu absent, JSON casse, montants incoherents</t>
  </si>
  <si>
    <t>Refus propre (JSON success:false) ou erreur geree ; jamais de plantage ni de page d'erreur brute</t>
  </si>
  <si>
    <t>6.3</t>
  </si>
  <si>
    <t>Modification a quantite &lt;= 0</t>
  </si>
  <si>
    <t>Une ligne au panier</t>
  </si>
  <si>
    <t>POST update/item/vno avec qte=0 puis qte=-5</t>
  </si>
  <si>
    <t>Refus propre ; la quantite en base reste inchangee</t>
  </si>
  <si>
    <t>7 - NON-REGRESSION GENERALE</t>
  </si>
  <si>
    <t>7.1</t>
  </si>
  <si>
    <t>Non-reg</t>
  </si>
  <si>
    <t>Produit non detail</t>
  </si>
  <si>
    <t>Produit normal (non deconditionnable)</t>
  </si>
  <si>
    <t>Vendre, modifier, valider un produit normal</t>
  </si>
  <si>
    <t>Comportement inchange, y compris le forcage de stock si le parametre est actif</t>
  </si>
  <si>
    <t>7.2</t>
  </si>
  <si>
    <t>Suite de tests automatises</t>
  </si>
  <si>
    <t>Depot a jour</t>
  </si>
  <si>
    <t>Suite verte (deconditionnement, retention, reserve, fiche des mouvements inclus)</t>
  </si>
  <si>
    <t>7.3</t>
  </si>
  <si>
    <t>Tests E2E fournis</t>
  </si>
  <si>
    <t>WAR deploye, base de test</t>
  </si>
  <si>
    <t>Jouer concurrence-derniere-boite.sh, ui-caisse-deconditionnement.js, ui-suivi-mvt-article.js, ui-clavier-caisse-detail.js, tests-negatifs-validation-entrees.sh</t>
  </si>
  <si>
    <t>Concurrence : une seule cloture/tour, jamais de negatif. UI caisse 6/6, UI suivi mvt 5/5, clavier 5/5, negatifs 0 plantage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</si>
</sst>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9.0"/>
      <i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6"/>
      </patternFill>
    </fill>
    <fill>
      <patternFill patternType="solid">
        <fgColor indexed="26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wrapText="true" vertical="center"/>
    </xf>
    <xf numFmtId="0" fontId="3" fillId="3" borderId="4" xfId="0" applyFont="true" applyFill="true" applyBorder="true">
      <alignment horizontal="center" vertical="center" wrapText="true"/>
    </xf>
    <xf numFmtId="0" fontId="4" fillId="5" borderId="4" xfId="0" applyFont="true" applyFill="true" applyBorder="true">
      <alignment vertical="center"/>
    </xf>
    <xf numFmtId="0" fontId="0" fillId="0" borderId="4" xfId="0" applyBorder="true">
      <alignment wrapText="true" vertical="top"/>
    </xf>
    <xf numFmtId="0" fontId="0" fillId="0" borderId="4" xfId="0" applyBorder="true">
      <alignment horizontal="center" vertical="top"/>
    </xf>
    <xf numFmtId="0" fontId="0" fillId="7" borderId="4" xfId="0" applyFill="true" applyBorder="true">
      <alignment wrapText="true" vertical="top"/>
    </xf>
    <xf numFmtId="0" fontId="5" fillId="0" borderId="4" xfId="0" applyFont="true" applyBorder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 fitToPage="true"/>
  </sheetPr>
  <dimension ref="A1:I55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5.46875" customWidth="true"/>
    <col min="2" max="2" width="12.5" customWidth="true"/>
    <col min="3" max="3" width="32.03125" customWidth="true"/>
    <col min="4" max="4" width="28.125" customWidth="true"/>
    <col min="5" max="5" width="42.96875" customWidth="true"/>
    <col min="6" max="6" width="48.828125" customWidth="true"/>
    <col min="7" max="7" width="33.203125" customWidth="true"/>
    <col min="8" max="8" width="12.5" customWidth="true"/>
    <col min="9" max="9" width="20.3125" customWidth="true"/>
  </cols>
  <sheetData>
    <row r="1" ht="26.0" customHeight="true">
      <c r="A1" t="s" s="1">
        <v>0</v>
      </c>
    </row>
    <row r="2" ht="54.0" customHeight="true">
      <c r="A2" t="s" s="2">
        <v>1</v>
      </c>
    </row>
    <row r="4" ht="28.0" customHeight="true">
      <c r="A4" t="s" s="3">
        <v>2</v>
      </c>
      <c r="B4" t="s" s="3">
        <v>3</v>
      </c>
      <c r="C4" t="s" s="3">
        <v>4</v>
      </c>
      <c r="D4" t="s" s="3">
        <v>5</v>
      </c>
      <c r="E4" t="s" s="3">
        <v>6</v>
      </c>
      <c r="F4" t="s" s="3">
        <v>7</v>
      </c>
      <c r="G4" t="s" s="3">
        <v>8</v>
      </c>
      <c r="H4" t="s" s="3">
        <v>9</v>
      </c>
      <c r="I4" t="s" s="3">
        <v>10</v>
      </c>
    </row>
    <row r="5" ht="18.0" customHeight="true">
      <c r="A5" t="s" s="4">
        <v>11</v>
      </c>
      <c r="B5" s="4"/>
      <c r="C5" s="4"/>
      <c r="D5" s="4"/>
      <c r="E5" s="4"/>
      <c r="F5" s="4"/>
      <c r="G5" s="4"/>
      <c r="H5" s="4"/>
      <c r="I5" s="4"/>
    </row>
    <row r="6" ht="30.0" customHeight="true">
      <c r="A6" t="s" s="6">
        <v>12</v>
      </c>
      <c r="B6" t="s" s="5">
        <v>13</v>
      </c>
      <c r="C6" t="s" s="5">
        <v>14</v>
      </c>
      <c r="D6" t="s" s="5">
        <v>15</v>
      </c>
      <c r="E6" t="s" s="5">
        <v>16</v>
      </c>
      <c r="F6" t="s" s="5">
        <v>17</v>
      </c>
      <c r="G6" s="7"/>
      <c r="H6" s="7"/>
      <c r="I6" s="7"/>
    </row>
    <row r="7" ht="30.0" customHeight="true">
      <c r="A7" t="s" s="6">
        <v>18</v>
      </c>
      <c r="B7" t="s" s="5">
        <v>13</v>
      </c>
      <c r="C7" t="s" s="5">
        <v>19</v>
      </c>
      <c r="D7" t="s" s="5">
        <v>20</v>
      </c>
      <c r="E7" t="s" s="5">
        <v>21</v>
      </c>
      <c r="F7" t="s" s="5">
        <v>22</v>
      </c>
      <c r="G7" s="7"/>
      <c r="H7" s="7"/>
      <c r="I7" s="7"/>
    </row>
    <row r="8" ht="39.0" customHeight="true">
      <c r="A8" t="s" s="6">
        <v>23</v>
      </c>
      <c r="B8" t="s" s="5">
        <v>24</v>
      </c>
      <c r="C8" t="s" s="5">
        <v>25</v>
      </c>
      <c r="D8" t="s" s="5">
        <v>26</v>
      </c>
      <c r="E8" t="s" s="5">
        <v>27</v>
      </c>
      <c r="F8" t="s" s="5">
        <v>28</v>
      </c>
      <c r="G8" s="7"/>
      <c r="H8" s="7"/>
      <c r="I8" s="7"/>
    </row>
    <row r="9" ht="39.0" customHeight="true">
      <c r="A9" t="s" s="6">
        <v>29</v>
      </c>
      <c r="B9" t="s" s="5">
        <v>24</v>
      </c>
      <c r="C9" t="s" s="5">
        <v>30</v>
      </c>
      <c r="D9" t="s" s="5">
        <v>31</v>
      </c>
      <c r="E9" t="s" s="5">
        <v>32</v>
      </c>
      <c r="F9" t="s" s="5">
        <v>33</v>
      </c>
      <c r="G9" s="7"/>
      <c r="H9" s="7"/>
      <c r="I9" s="7"/>
    </row>
    <row r="10" ht="18.0" customHeight="true">
      <c r="A10" t="s" s="4">
        <v>34</v>
      </c>
      <c r="B10" s="4"/>
      <c r="C10" s="4"/>
      <c r="D10" s="4"/>
      <c r="E10" s="4"/>
      <c r="F10" s="4"/>
      <c r="G10" s="4"/>
      <c r="H10" s="4"/>
      <c r="I10" s="4"/>
    </row>
    <row r="11" ht="39.0" customHeight="true">
      <c r="A11" t="s" s="6">
        <v>35</v>
      </c>
      <c r="B11" t="s" s="5">
        <v>36</v>
      </c>
      <c r="C11" t="s" s="5">
        <v>37</v>
      </c>
      <c r="D11" t="s" s="5">
        <v>38</v>
      </c>
      <c r="E11" t="s" s="5">
        <v>39</v>
      </c>
      <c r="F11" t="s" s="5">
        <v>40</v>
      </c>
      <c r="G11" s="7"/>
      <c r="H11" s="7"/>
      <c r="I11" s="7"/>
    </row>
    <row r="12" ht="30.0" customHeight="true">
      <c r="A12" t="s" s="6">
        <v>41</v>
      </c>
      <c r="B12" t="s" s="5">
        <v>42</v>
      </c>
      <c r="C12" t="s" s="5">
        <v>43</v>
      </c>
      <c r="D12" t="s" s="5">
        <v>44</v>
      </c>
      <c r="E12" t="s" s="5">
        <v>45</v>
      </c>
      <c r="F12" t="s" s="5">
        <v>46</v>
      </c>
      <c r="G12" s="7"/>
      <c r="H12" s="7"/>
      <c r="I12" s="7"/>
    </row>
    <row r="13" ht="30.0" customHeight="true">
      <c r="A13" t="s" s="6">
        <v>47</v>
      </c>
      <c r="B13" t="s" s="5">
        <v>48</v>
      </c>
      <c r="C13" t="s" s="5">
        <v>49</v>
      </c>
      <c r="D13" t="s" s="5">
        <v>50</v>
      </c>
      <c r="E13" t="s" s="5">
        <v>51</v>
      </c>
      <c r="F13" t="s" s="5">
        <v>52</v>
      </c>
      <c r="G13" s="7"/>
      <c r="H13" s="7"/>
      <c r="I13" s="7"/>
    </row>
    <row r="14" ht="30.0" customHeight="true">
      <c r="A14" t="s" s="6">
        <v>53</v>
      </c>
      <c r="B14" t="s" s="5">
        <v>54</v>
      </c>
      <c r="C14" t="s" s="5">
        <v>55</v>
      </c>
      <c r="D14" t="s" s="5">
        <v>56</v>
      </c>
      <c r="E14" t="s" s="5">
        <v>57</v>
      </c>
      <c r="F14" t="s" s="5">
        <v>58</v>
      </c>
      <c r="G14" s="7"/>
      <c r="H14" s="7"/>
      <c r="I14" s="7"/>
    </row>
    <row r="15" ht="30.0" customHeight="true">
      <c r="A15" t="s" s="6">
        <v>59</v>
      </c>
      <c r="B15" t="s" s="5">
        <v>60</v>
      </c>
      <c r="C15" t="s" s="5">
        <v>61</v>
      </c>
      <c r="D15" t="s" s="5">
        <v>62</v>
      </c>
      <c r="E15" t="s" s="5">
        <v>63</v>
      </c>
      <c r="F15" t="s" s="5">
        <v>64</v>
      </c>
      <c r="G15" s="7"/>
      <c r="H15" s="7"/>
      <c r="I15" s="7"/>
    </row>
    <row r="16" ht="30.0" customHeight="true">
      <c r="A16" t="s" s="6">
        <v>65</v>
      </c>
      <c r="B16" t="s" s="5">
        <v>60</v>
      </c>
      <c r="C16" t="s" s="5">
        <v>66</v>
      </c>
      <c r="D16" t="s" s="5">
        <v>67</v>
      </c>
      <c r="E16" t="s" s="5">
        <v>68</v>
      </c>
      <c r="F16" t="s" s="5">
        <v>69</v>
      </c>
      <c r="G16" s="7"/>
      <c r="H16" s="7"/>
      <c r="I16" s="7"/>
    </row>
    <row r="17" ht="18.0" customHeight="true">
      <c r="A17" t="s" s="4">
        <v>70</v>
      </c>
      <c r="B17" s="4"/>
      <c r="C17" s="4"/>
      <c r="D17" s="4"/>
      <c r="E17" s="4"/>
      <c r="F17" s="4"/>
      <c r="G17" s="4"/>
      <c r="H17" s="4"/>
      <c r="I17" s="4"/>
    </row>
    <row r="18" ht="30.0" customHeight="true">
      <c r="A18" t="s" s="6">
        <v>71</v>
      </c>
      <c r="B18" t="s" s="5">
        <v>54</v>
      </c>
      <c r="C18" t="s" s="5">
        <v>72</v>
      </c>
      <c r="D18" t="s" s="5">
        <v>73</v>
      </c>
      <c r="E18" t="s" s="5">
        <v>74</v>
      </c>
      <c r="F18" t="s" s="5">
        <v>75</v>
      </c>
      <c r="G18" s="7"/>
      <c r="H18" s="7"/>
      <c r="I18" s="7"/>
    </row>
    <row r="19" ht="30.0" customHeight="true">
      <c r="A19" t="s" s="6">
        <v>76</v>
      </c>
      <c r="B19" t="s" s="5">
        <v>54</v>
      </c>
      <c r="C19" t="s" s="5">
        <v>77</v>
      </c>
      <c r="D19" t="s" s="5">
        <v>78</v>
      </c>
      <c r="E19" t="s" s="5">
        <v>79</v>
      </c>
      <c r="F19" t="s" s="5">
        <v>80</v>
      </c>
      <c r="G19" s="7"/>
      <c r="H19" s="7"/>
      <c r="I19" s="7"/>
    </row>
    <row r="20" ht="30.0" customHeight="true">
      <c r="A20" t="s" s="6">
        <v>81</v>
      </c>
      <c r="B20" t="s" s="5">
        <v>54</v>
      </c>
      <c r="C20" t="s" s="5">
        <v>82</v>
      </c>
      <c r="D20" t="s" s="5">
        <v>83</v>
      </c>
      <c r="E20" t="s" s="5">
        <v>84</v>
      </c>
      <c r="F20" t="s" s="5">
        <v>85</v>
      </c>
      <c r="G20" s="7"/>
      <c r="H20" s="7"/>
      <c r="I20" s="7"/>
    </row>
    <row r="21" ht="39.0" customHeight="true">
      <c r="A21" t="s" s="6">
        <v>86</v>
      </c>
      <c r="B21" t="s" s="5">
        <v>54</v>
      </c>
      <c r="C21" t="s" s="5">
        <v>87</v>
      </c>
      <c r="D21" t="s" s="5">
        <v>88</v>
      </c>
      <c r="E21" t="s" s="5">
        <v>89</v>
      </c>
      <c r="F21" t="s" s="5">
        <v>90</v>
      </c>
      <c r="G21" s="7"/>
      <c r="H21" s="7"/>
      <c r="I21" s="7"/>
    </row>
    <row r="22" ht="39.0" customHeight="true">
      <c r="A22" t="s" s="6">
        <v>91</v>
      </c>
      <c r="B22" t="s" s="5">
        <v>92</v>
      </c>
      <c r="C22" t="s" s="5">
        <v>93</v>
      </c>
      <c r="D22" t="s" s="5">
        <v>94</v>
      </c>
      <c r="E22" t="s" s="5">
        <v>95</v>
      </c>
      <c r="F22" t="s" s="5">
        <v>96</v>
      </c>
      <c r="G22" s="7"/>
      <c r="H22" s="7"/>
      <c r="I22" s="7"/>
    </row>
    <row r="23" ht="30.0" customHeight="true">
      <c r="A23" t="s" s="6">
        <v>97</v>
      </c>
      <c r="B23" t="s" s="5">
        <v>92</v>
      </c>
      <c r="C23" t="s" s="5">
        <v>98</v>
      </c>
      <c r="D23" t="s" s="5">
        <v>99</v>
      </c>
      <c r="E23" t="s" s="5">
        <v>100</v>
      </c>
      <c r="F23" t="s" s="5">
        <v>101</v>
      </c>
      <c r="G23" s="7"/>
      <c r="H23" s="7"/>
      <c r="I23" s="7"/>
    </row>
    <row r="24" ht="39.0" customHeight="true">
      <c r="A24" t="s" s="6">
        <v>102</v>
      </c>
      <c r="B24" t="s" s="5">
        <v>92</v>
      </c>
      <c r="C24" t="s" s="5">
        <v>103</v>
      </c>
      <c r="D24" t="s" s="5">
        <v>104</v>
      </c>
      <c r="E24" t="s" s="5">
        <v>105</v>
      </c>
      <c r="F24" t="s" s="5">
        <v>106</v>
      </c>
      <c r="G24" s="7"/>
      <c r="H24" s="7"/>
      <c r="I24" s="7"/>
    </row>
    <row r="25" ht="30.0" customHeight="true">
      <c r="A25" t="s" s="6">
        <v>107</v>
      </c>
      <c r="B25" t="s" s="5">
        <v>92</v>
      </c>
      <c r="C25" t="s" s="5">
        <v>108</v>
      </c>
      <c r="D25" t="s" s="5">
        <v>109</v>
      </c>
      <c r="E25" t="s" s="5">
        <v>110</v>
      </c>
      <c r="F25" t="s" s="5">
        <v>111</v>
      </c>
      <c r="G25" s="7"/>
      <c r="H25" s="7"/>
      <c r="I25" s="7"/>
    </row>
    <row r="26" ht="18.0" customHeight="true">
      <c r="A26" t="s" s="4">
        <v>112</v>
      </c>
      <c r="B26" s="4"/>
      <c r="C26" s="4"/>
      <c r="D26" s="4"/>
      <c r="E26" s="4"/>
      <c r="F26" s="4"/>
      <c r="G26" s="4"/>
      <c r="H26" s="4"/>
      <c r="I26" s="4"/>
    </row>
    <row r="27" ht="30.0" customHeight="true">
      <c r="A27" t="s" s="6">
        <v>113</v>
      </c>
      <c r="B27" t="s" s="5">
        <v>114</v>
      </c>
      <c r="C27" t="s" s="5">
        <v>115</v>
      </c>
      <c r="D27" t="s" s="5">
        <v>116</v>
      </c>
      <c r="E27" t="s" s="5">
        <v>117</v>
      </c>
      <c r="F27" t="s" s="5">
        <v>118</v>
      </c>
      <c r="G27" s="7"/>
      <c r="H27" s="7"/>
      <c r="I27" s="7"/>
    </row>
    <row r="28" ht="30.0" customHeight="true">
      <c r="A28" t="s" s="6">
        <v>119</v>
      </c>
      <c r="B28" t="s" s="5">
        <v>114</v>
      </c>
      <c r="C28" t="s" s="5">
        <v>120</v>
      </c>
      <c r="D28" t="s" s="5">
        <v>104</v>
      </c>
      <c r="E28" t="s" s="5">
        <v>121</v>
      </c>
      <c r="F28" t="s" s="5">
        <v>122</v>
      </c>
      <c r="G28" s="7"/>
      <c r="H28" s="7"/>
      <c r="I28" s="7"/>
    </row>
    <row r="29" ht="30.0" customHeight="true">
      <c r="A29" t="s" s="6">
        <v>123</v>
      </c>
      <c r="B29" t="s" s="5">
        <v>114</v>
      </c>
      <c r="C29" t="s" s="5">
        <v>124</v>
      </c>
      <c r="D29" t="s" s="5">
        <v>125</v>
      </c>
      <c r="E29" t="s" s="5">
        <v>126</v>
      </c>
      <c r="F29" t="s" s="5">
        <v>127</v>
      </c>
      <c r="G29" s="7"/>
      <c r="H29" s="7"/>
      <c r="I29" s="7"/>
    </row>
    <row r="30" ht="30.0" customHeight="true">
      <c r="A30" t="s" s="6">
        <v>128</v>
      </c>
      <c r="B30" t="s" s="5">
        <v>114</v>
      </c>
      <c r="C30" t="s" s="5">
        <v>129</v>
      </c>
      <c r="D30" t="s" s="5">
        <v>116</v>
      </c>
      <c r="E30" t="s" s="5">
        <v>130</v>
      </c>
      <c r="F30" t="s" s="5">
        <v>131</v>
      </c>
      <c r="G30" s="7"/>
      <c r="H30" s="7"/>
      <c r="I30" s="7"/>
    </row>
    <row r="31" ht="30.0" customHeight="true">
      <c r="A31" t="s" s="6">
        <v>132</v>
      </c>
      <c r="B31" t="s" s="5">
        <v>114</v>
      </c>
      <c r="C31" t="s" s="5">
        <v>133</v>
      </c>
      <c r="D31" t="s" s="5">
        <v>116</v>
      </c>
      <c r="E31" t="s" s="5">
        <v>134</v>
      </c>
      <c r="F31" t="s" s="5">
        <v>135</v>
      </c>
      <c r="G31" s="7"/>
      <c r="H31" s="7"/>
      <c r="I31" s="7"/>
    </row>
    <row r="32" ht="30.0" customHeight="true">
      <c r="A32" t="s" s="6">
        <v>136</v>
      </c>
      <c r="B32" t="s" s="5">
        <v>114</v>
      </c>
      <c r="C32" t="s" s="5">
        <v>137</v>
      </c>
      <c r="D32" t="s" s="5">
        <v>116</v>
      </c>
      <c r="E32" t="s" s="5">
        <v>138</v>
      </c>
      <c r="F32" t="s" s="5">
        <v>139</v>
      </c>
      <c r="G32" s="7"/>
      <c r="H32" s="7"/>
      <c r="I32" s="7"/>
    </row>
    <row r="33" ht="18.0" customHeight="true">
      <c r="A33" t="s" s="4">
        <v>140</v>
      </c>
      <c r="B33" s="4"/>
      <c r="C33" s="4"/>
      <c r="D33" s="4"/>
      <c r="E33" s="4"/>
      <c r="F33" s="4"/>
      <c r="G33" s="4"/>
      <c r="H33" s="4"/>
      <c r="I33" s="4"/>
    </row>
    <row r="34" ht="30.0" customHeight="true">
      <c r="A34" t="s" s="6">
        <v>141</v>
      </c>
      <c r="B34" t="s" s="5">
        <v>142</v>
      </c>
      <c r="C34" t="s" s="5">
        <v>143</v>
      </c>
      <c r="D34" t="s" s="5">
        <v>144</v>
      </c>
      <c r="E34" t="s" s="5">
        <v>145</v>
      </c>
      <c r="F34" t="s" s="5">
        <v>146</v>
      </c>
      <c r="G34" s="7"/>
      <c r="H34" s="7"/>
      <c r="I34" s="7"/>
    </row>
    <row r="35" ht="30.0" customHeight="true">
      <c r="A35" t="s" s="6">
        <v>147</v>
      </c>
      <c r="B35" t="s" s="5">
        <v>148</v>
      </c>
      <c r="C35" t="s" s="5">
        <v>149</v>
      </c>
      <c r="D35" t="s" s="5">
        <v>150</v>
      </c>
      <c r="E35" t="s" s="5">
        <v>151</v>
      </c>
      <c r="F35" t="s" s="5">
        <v>152</v>
      </c>
      <c r="G35" s="7"/>
      <c r="H35" s="7"/>
      <c r="I35" s="7"/>
    </row>
    <row r="36" ht="30.0" customHeight="true">
      <c r="A36" t="s" s="6">
        <v>153</v>
      </c>
      <c r="B36" t="s" s="5">
        <v>154</v>
      </c>
      <c r="C36" t="s" s="5">
        <v>155</v>
      </c>
      <c r="D36" t="s" s="5">
        <v>150</v>
      </c>
      <c r="E36" t="s" s="5">
        <v>156</v>
      </c>
      <c r="F36" t="s" s="5">
        <v>157</v>
      </c>
      <c r="G36" s="7"/>
      <c r="H36" s="7"/>
      <c r="I36" s="7"/>
    </row>
    <row r="37" ht="30.0" customHeight="true">
      <c r="A37" t="s" s="6">
        <v>158</v>
      </c>
      <c r="B37" t="s" s="5">
        <v>154</v>
      </c>
      <c r="C37" t="s" s="5">
        <v>159</v>
      </c>
      <c r="D37" t="s" s="5">
        <v>150</v>
      </c>
      <c r="E37" t="s" s="5">
        <v>160</v>
      </c>
      <c r="F37" t="s" s="5">
        <v>161</v>
      </c>
      <c r="G37" s="7"/>
      <c r="H37" s="7"/>
      <c r="I37" s="7"/>
    </row>
    <row r="38" ht="30.0" customHeight="true">
      <c r="A38" t="s" s="6">
        <v>162</v>
      </c>
      <c r="B38" t="s" s="5">
        <v>163</v>
      </c>
      <c r="C38" t="s" s="5">
        <v>164</v>
      </c>
      <c r="D38" t="s" s="5">
        <v>150</v>
      </c>
      <c r="E38" t="s" s="5">
        <v>165</v>
      </c>
      <c r="F38" t="s" s="5">
        <v>166</v>
      </c>
      <c r="G38" s="7"/>
      <c r="H38" s="7"/>
      <c r="I38" s="7"/>
    </row>
    <row r="39" ht="18.0" customHeight="true">
      <c r="A39" t="s" s="4">
        <v>167</v>
      </c>
      <c r="B39" s="4"/>
      <c r="C39" s="4"/>
      <c r="D39" s="4"/>
      <c r="E39" s="4"/>
      <c r="F39" s="4"/>
      <c r="G39" s="4"/>
      <c r="H39" s="4"/>
      <c r="I39" s="4"/>
    </row>
    <row r="40" ht="30.0" customHeight="true">
      <c r="A40" t="s" s="6">
        <v>168</v>
      </c>
      <c r="B40" t="s" s="5">
        <v>169</v>
      </c>
      <c r="C40" t="s" s="5">
        <v>170</v>
      </c>
      <c r="D40" t="s" s="5">
        <v>171</v>
      </c>
      <c r="E40" t="s" s="5">
        <v>172</v>
      </c>
      <c r="F40" t="s" s="5">
        <v>173</v>
      </c>
      <c r="G40" s="7"/>
      <c r="H40" s="7"/>
      <c r="I40" s="7"/>
    </row>
    <row r="41" ht="30.0" customHeight="true">
      <c r="A41" t="s" s="6">
        <v>174</v>
      </c>
      <c r="B41" t="s" s="5">
        <v>169</v>
      </c>
      <c r="C41" t="s" s="5">
        <v>175</v>
      </c>
      <c r="D41" t="s" s="5">
        <v>176</v>
      </c>
      <c r="E41" t="s" s="5">
        <v>177</v>
      </c>
      <c r="F41" t="s" s="5">
        <v>178</v>
      </c>
      <c r="G41" s="7"/>
      <c r="H41" s="7"/>
      <c r="I41" s="7"/>
    </row>
    <row r="42" ht="30.0" customHeight="true">
      <c r="A42" t="s" s="6">
        <v>179</v>
      </c>
      <c r="B42" t="s" s="5">
        <v>169</v>
      </c>
      <c r="C42" t="s" s="5">
        <v>180</v>
      </c>
      <c r="D42" t="s" s="5">
        <v>181</v>
      </c>
      <c r="E42" t="s" s="5">
        <v>182</v>
      </c>
      <c r="F42" t="s" s="5">
        <v>183</v>
      </c>
      <c r="G42" s="7"/>
      <c r="H42" s="7"/>
      <c r="I42" s="7"/>
    </row>
    <row r="43" ht="30.0" customHeight="true">
      <c r="A43" t="s" s="6">
        <v>184</v>
      </c>
      <c r="B43" t="s" s="5">
        <v>169</v>
      </c>
      <c r="C43" t="s" s="5">
        <v>185</v>
      </c>
      <c r="D43" t="s" s="5">
        <v>186</v>
      </c>
      <c r="E43" t="s" s="5">
        <v>187</v>
      </c>
      <c r="F43" t="s" s="5">
        <v>188</v>
      </c>
      <c r="G43" s="7"/>
      <c r="H43" s="7"/>
      <c r="I43" s="7"/>
    </row>
    <row r="44" ht="30.0" customHeight="true">
      <c r="A44" t="s" s="6">
        <v>189</v>
      </c>
      <c r="B44" t="s" s="5">
        <v>169</v>
      </c>
      <c r="C44" t="s" s="5">
        <v>190</v>
      </c>
      <c r="D44" t="s" s="5">
        <v>191</v>
      </c>
      <c r="E44" t="s" s="5">
        <v>192</v>
      </c>
      <c r="F44" t="s" s="5">
        <v>193</v>
      </c>
      <c r="G44" s="7"/>
      <c r="H44" s="7"/>
      <c r="I44" s="7"/>
    </row>
    <row r="45" ht="30.0" customHeight="true">
      <c r="A45" t="s" s="6">
        <v>194</v>
      </c>
      <c r="B45" t="s" s="5">
        <v>169</v>
      </c>
      <c r="C45" t="s" s="5">
        <v>195</v>
      </c>
      <c r="D45" t="s" s="5">
        <v>196</v>
      </c>
      <c r="E45" t="s" s="5">
        <v>197</v>
      </c>
      <c r="F45" t="s" s="5">
        <v>198</v>
      </c>
      <c r="G45" s="7"/>
      <c r="H45" s="7"/>
      <c r="I45" s="7"/>
    </row>
    <row r="46" ht="39.0" customHeight="true">
      <c r="A46" t="s" s="6">
        <v>199</v>
      </c>
      <c r="B46" t="s" s="5">
        <v>200</v>
      </c>
      <c r="C46" t="s" s="5">
        <v>201</v>
      </c>
      <c r="D46" t="s" s="5">
        <v>202</v>
      </c>
      <c r="E46" t="s" s="5">
        <v>203</v>
      </c>
      <c r="F46" t="s" s="5">
        <v>204</v>
      </c>
      <c r="G46" s="7"/>
      <c r="H46" s="7"/>
      <c r="I46" s="7"/>
    </row>
    <row r="47" ht="30.0" customHeight="true">
      <c r="A47" t="s" s="6">
        <v>205</v>
      </c>
      <c r="B47" t="s" s="5">
        <v>200</v>
      </c>
      <c r="C47" t="s" s="5">
        <v>206</v>
      </c>
      <c r="D47" t="s" s="5">
        <v>207</v>
      </c>
      <c r="E47" t="s" s="5">
        <v>208</v>
      </c>
      <c r="F47" t="s" s="5">
        <v>209</v>
      </c>
      <c r="G47" s="7"/>
      <c r="H47" s="7"/>
      <c r="I47" s="7"/>
    </row>
    <row r="49">
      <c r="A49" t="s" s="8">
        <v>210</v>
      </c>
      <c r="B49" s="8"/>
      <c r="C49" s="8"/>
      <c r="D49" s="8"/>
      <c r="E49" s="8"/>
      <c r="F49" s="8"/>
      <c r="G49" s="8"/>
      <c r="H49" s="8"/>
      <c r="I49" s="8"/>
    </row>
    <row r="50">
      <c r="A50" t="s" s="8">
        <v>211</v>
      </c>
      <c r="B50" s="8"/>
      <c r="C50" s="8"/>
      <c r="D50" s="8"/>
      <c r="E50" s="8"/>
      <c r="F50" t="n" s="8">
        <f>COUNTA($A$5:$A$47)-COUNTIF($A$5:$A$47,"")</f>
        <v>0.0</v>
      </c>
      <c r="G50" s="8"/>
      <c r="H50" s="8"/>
      <c r="I50" s="8"/>
    </row>
    <row r="51">
      <c r="A51" t="s" s="8">
        <v>212</v>
      </c>
      <c r="B51" s="8"/>
      <c r="C51" s="8"/>
      <c r="D51" s="8"/>
      <c r="E51" s="8"/>
      <c r="F51" t="n" s="8">
        <f>COUNTIF($H$5:$H$47,"OK")</f>
        <v>0.0</v>
      </c>
      <c r="G51" s="8"/>
      <c r="H51" s="8"/>
      <c r="I51" s="8"/>
    </row>
    <row r="52">
      <c r="A52" t="s" s="8">
        <v>213</v>
      </c>
      <c r="B52" s="8"/>
      <c r="C52" s="8"/>
      <c r="D52" s="8"/>
      <c r="E52" s="8"/>
      <c r="F52" t="n" s="8">
        <f>COUNTIF($H$5:$H$47,"KO")</f>
        <v>0.0</v>
      </c>
      <c r="G52" s="8"/>
      <c r="H52" s="8"/>
      <c r="I52" s="8"/>
    </row>
    <row r="53">
      <c r="A53" t="s" s="8">
        <v>214</v>
      </c>
      <c r="B53" s="8"/>
      <c r="C53" s="8"/>
      <c r="D53" s="8"/>
      <c r="E53" s="8"/>
      <c r="F53" t="n" s="8">
        <f>COUNTIF($H$5:$H$47,"N/A")</f>
        <v>0.0</v>
      </c>
      <c r="G53" s="8"/>
      <c r="H53" s="8"/>
      <c r="I53" s="8"/>
    </row>
    <row r="55" ht="22.0" customHeight="true">
      <c r="A55" t="s" s="2">
        <v>215</v>
      </c>
    </row>
  </sheetData>
  <mergeCells count="19">
    <mergeCell ref="A1:I1"/>
    <mergeCell ref="A2:I2"/>
    <mergeCell ref="A5:I5"/>
    <mergeCell ref="A10:I10"/>
    <mergeCell ref="A17:I17"/>
    <mergeCell ref="A26:I26"/>
    <mergeCell ref="A33:I33"/>
    <mergeCell ref="A39:I39"/>
    <mergeCell ref="A49:E49"/>
    <mergeCell ref="F49:I49"/>
    <mergeCell ref="A50:E50"/>
    <mergeCell ref="F50:I50"/>
    <mergeCell ref="A51:E51"/>
    <mergeCell ref="F51:I51"/>
    <mergeCell ref="A52:E52"/>
    <mergeCell ref="F52:I52"/>
    <mergeCell ref="A53:E53"/>
    <mergeCell ref="F53:I53"/>
    <mergeCell ref="A55:I55"/>
  </mergeCells>
  <pageMargins bottom="0.75" footer="0.3" header="0.3" left="0.3" right="0.3" top="0.75"/>
  <pageSetup orientation="landscape" paperSize="9" fitToWidth="1" fitToHeight="0"/>
</worksheet>
</file>

<file path=xl/worksheets/sheet2.xml><?xml version="1.0" encoding="utf-8"?>
<worksheet xmlns="http://schemas.openxmlformats.org/spreadsheetml/2006/main">
  <sheetPr>
    <pageSetUpPr autoPageBreaks="true" fitToPage="true"/>
  </sheetPr>
  <dimension ref="A1:I44"/>
  <sheetViews>
    <sheetView workbookViewId="0">
      <pane ySplit="4.0" state="frozen" topLeftCell="A5" activePane="bottomLeft"/>
      <selection pane="bottomLeft"/>
    </sheetView>
  </sheetViews>
  <sheetFormatPr defaultRowHeight="15.0"/>
  <cols>
    <col min="1" max="1" width="5.46875" customWidth="true"/>
    <col min="2" max="2" width="12.5" customWidth="true"/>
    <col min="3" max="3" width="32.03125" customWidth="true"/>
    <col min="4" max="4" width="28.125" customWidth="true"/>
    <col min="5" max="5" width="42.96875" customWidth="true"/>
    <col min="6" max="6" width="48.828125" customWidth="true"/>
    <col min="7" max="7" width="33.203125" customWidth="true"/>
    <col min="8" max="8" width="12.5" customWidth="true"/>
    <col min="9" max="9" width="20.3125" customWidth="true"/>
  </cols>
  <sheetData>
    <row r="1" ht="26.0" customHeight="true">
      <c r="A1" t="s" s="1">
        <v>216</v>
      </c>
    </row>
    <row r="2" ht="54.0" customHeight="true">
      <c r="A2" t="s" s="2">
        <v>217</v>
      </c>
    </row>
    <row r="4" ht="28.0" customHeight="true">
      <c r="A4" t="s" s="3">
        <v>2</v>
      </c>
      <c r="B4" t="s" s="3">
        <v>3</v>
      </c>
      <c r="C4" t="s" s="3">
        <v>4</v>
      </c>
      <c r="D4" t="s" s="3">
        <v>5</v>
      </c>
      <c r="E4" t="s" s="3">
        <v>6</v>
      </c>
      <c r="F4" t="s" s="3">
        <v>7</v>
      </c>
      <c r="G4" t="s" s="3">
        <v>8</v>
      </c>
      <c r="H4" t="s" s="3">
        <v>9</v>
      </c>
      <c r="I4" t="s" s="3">
        <v>10</v>
      </c>
    </row>
    <row r="5" ht="18.0" customHeight="true">
      <c r="A5" t="s" s="4">
        <v>218</v>
      </c>
      <c r="B5" s="4"/>
      <c r="C5" s="4"/>
      <c r="D5" s="4"/>
      <c r="E5" s="4"/>
      <c r="F5" s="4"/>
      <c r="G5" s="4"/>
      <c r="H5" s="4"/>
      <c r="I5" s="4"/>
    </row>
    <row r="6" ht="39.0" customHeight="true">
      <c r="A6" t="s" s="6">
        <v>219</v>
      </c>
      <c r="B6" t="s" s="5">
        <v>220</v>
      </c>
      <c r="C6" t="s" s="5">
        <v>221</v>
      </c>
      <c r="D6" t="s" s="5">
        <v>222</v>
      </c>
      <c r="E6" t="s" s="5">
        <v>223</v>
      </c>
      <c r="F6" t="s" s="5">
        <v>224</v>
      </c>
      <c r="G6" s="7"/>
      <c r="H6" s="7"/>
      <c r="I6" s="7"/>
    </row>
    <row r="7" ht="39.0" customHeight="true">
      <c r="A7" t="s" s="6">
        <v>225</v>
      </c>
      <c r="B7" t="s" s="5">
        <v>220</v>
      </c>
      <c r="C7" t="s" s="5">
        <v>226</v>
      </c>
      <c r="D7" t="s" s="5">
        <v>227</v>
      </c>
      <c r="E7" t="s" s="5">
        <v>228</v>
      </c>
      <c r="F7" t="s" s="5">
        <v>229</v>
      </c>
      <c r="G7" s="7"/>
      <c r="H7" s="7"/>
      <c r="I7" s="7"/>
    </row>
    <row r="8" ht="30.0" customHeight="true">
      <c r="A8" t="s" s="6">
        <v>230</v>
      </c>
      <c r="B8" t="s" s="5">
        <v>220</v>
      </c>
      <c r="C8" t="s" s="5">
        <v>231</v>
      </c>
      <c r="D8" t="s" s="5">
        <v>232</v>
      </c>
      <c r="E8" t="s" s="5">
        <v>233</v>
      </c>
      <c r="F8" t="s" s="5">
        <v>234</v>
      </c>
      <c r="G8" s="7"/>
      <c r="H8" s="7"/>
      <c r="I8" s="7"/>
    </row>
    <row r="9" ht="30.0" customHeight="true">
      <c r="A9" t="s" s="6">
        <v>235</v>
      </c>
      <c r="B9" t="s" s="5">
        <v>220</v>
      </c>
      <c r="C9" t="s" s="5">
        <v>236</v>
      </c>
      <c r="D9" t="s" s="5">
        <v>232</v>
      </c>
      <c r="E9" t="s" s="5">
        <v>237</v>
      </c>
      <c r="F9" t="s" s="5">
        <v>238</v>
      </c>
      <c r="G9" s="7"/>
      <c r="H9" s="7"/>
      <c r="I9" s="7"/>
    </row>
    <row r="10" ht="18.0" customHeight="true">
      <c r="A10" t="s" s="4">
        <v>239</v>
      </c>
      <c r="B10" s="4"/>
      <c r="C10" s="4"/>
      <c r="D10" s="4"/>
      <c r="E10" s="4"/>
      <c r="F10" s="4"/>
      <c r="G10" s="4"/>
      <c r="H10" s="4"/>
      <c r="I10" s="4"/>
    </row>
    <row r="11" ht="39.0" customHeight="true">
      <c r="A11" t="s" s="6">
        <v>240</v>
      </c>
      <c r="B11" t="s" s="5">
        <v>241</v>
      </c>
      <c r="C11" t="s" s="5">
        <v>242</v>
      </c>
      <c r="D11" t="s" s="5">
        <v>243</v>
      </c>
      <c r="E11" t="s" s="5">
        <v>244</v>
      </c>
      <c r="F11" t="s" s="5">
        <v>245</v>
      </c>
      <c r="G11" s="7"/>
      <c r="H11" s="7"/>
      <c r="I11" s="7"/>
    </row>
    <row r="12" ht="30.0" customHeight="true">
      <c r="A12" t="s" s="6">
        <v>246</v>
      </c>
      <c r="B12" t="s" s="5">
        <v>247</v>
      </c>
      <c r="C12" t="s" s="5">
        <v>248</v>
      </c>
      <c r="D12" t="s" s="5">
        <v>249</v>
      </c>
      <c r="E12" t="s" s="5">
        <v>250</v>
      </c>
      <c r="F12" t="s" s="5">
        <v>251</v>
      </c>
      <c r="G12" s="7"/>
      <c r="H12" s="7"/>
      <c r="I12" s="7"/>
    </row>
    <row r="13" ht="39.0" customHeight="true">
      <c r="A13" t="s" s="6">
        <v>252</v>
      </c>
      <c r="B13" t="s" s="5">
        <v>247</v>
      </c>
      <c r="C13" t="s" s="5">
        <v>253</v>
      </c>
      <c r="D13" t="s" s="5">
        <v>254</v>
      </c>
      <c r="E13" t="s" s="5">
        <v>255</v>
      </c>
      <c r="F13" t="s" s="5">
        <v>256</v>
      </c>
      <c r="G13" s="7"/>
      <c r="H13" s="7"/>
      <c r="I13" s="7"/>
    </row>
    <row r="14" ht="30.0" customHeight="true">
      <c r="A14" t="s" s="6">
        <v>257</v>
      </c>
      <c r="B14" t="s" s="5">
        <v>247</v>
      </c>
      <c r="C14" t="s" s="5">
        <v>258</v>
      </c>
      <c r="D14" t="s" s="5">
        <v>259</v>
      </c>
      <c r="E14" t="s" s="5">
        <v>260</v>
      </c>
      <c r="F14" t="s" s="5">
        <v>261</v>
      </c>
      <c r="G14" s="7"/>
      <c r="H14" s="7"/>
      <c r="I14" s="7"/>
    </row>
    <row r="15" ht="39.0" customHeight="true">
      <c r="A15" t="s" s="6">
        <v>262</v>
      </c>
      <c r="B15" t="s" s="5">
        <v>263</v>
      </c>
      <c r="C15" t="s" s="5">
        <v>264</v>
      </c>
      <c r="D15" t="s" s="5">
        <v>265</v>
      </c>
      <c r="E15" t="s" s="5">
        <v>266</v>
      </c>
      <c r="F15" t="s" s="5">
        <v>267</v>
      </c>
      <c r="G15" s="7"/>
      <c r="H15" s="7"/>
      <c r="I15" s="7"/>
    </row>
    <row r="16" ht="30.0" customHeight="true">
      <c r="A16" t="s" s="6">
        <v>268</v>
      </c>
      <c r="B16" t="s" s="5">
        <v>269</v>
      </c>
      <c r="C16" t="s" s="5">
        <v>270</v>
      </c>
      <c r="D16" t="s" s="5">
        <v>271</v>
      </c>
      <c r="E16" t="s" s="5">
        <v>272</v>
      </c>
      <c r="F16" t="s" s="5">
        <v>273</v>
      </c>
      <c r="G16" s="7"/>
      <c r="H16" s="7"/>
      <c r="I16" s="7"/>
    </row>
    <row r="17" ht="18.0" customHeight="true">
      <c r="A17" t="s" s="4">
        <v>274</v>
      </c>
      <c r="B17" s="4"/>
      <c r="C17" s="4"/>
      <c r="D17" s="4"/>
      <c r="E17" s="4"/>
      <c r="F17" s="4"/>
      <c r="G17" s="4"/>
      <c r="H17" s="4"/>
      <c r="I17" s="4"/>
    </row>
    <row r="18" ht="30.0" customHeight="true">
      <c r="A18" t="s" s="6">
        <v>275</v>
      </c>
      <c r="B18" t="s" s="5">
        <v>92</v>
      </c>
      <c r="C18" t="s" s="5">
        <v>276</v>
      </c>
      <c r="D18" t="s" s="5">
        <v>277</v>
      </c>
      <c r="E18" t="s" s="5">
        <v>278</v>
      </c>
      <c r="F18" t="s" s="5">
        <v>279</v>
      </c>
      <c r="G18" s="7"/>
      <c r="H18" s="7"/>
      <c r="I18" s="7"/>
    </row>
    <row r="19" ht="30.0" customHeight="true">
      <c r="A19" t="s" s="6">
        <v>280</v>
      </c>
      <c r="B19" t="s" s="5">
        <v>92</v>
      </c>
      <c r="C19" t="s" s="5">
        <v>281</v>
      </c>
      <c r="D19" t="s" s="5">
        <v>282</v>
      </c>
      <c r="E19" t="s" s="5">
        <v>283</v>
      </c>
      <c r="F19" t="s" s="5">
        <v>284</v>
      </c>
      <c r="G19" s="7"/>
      <c r="H19" s="7"/>
      <c r="I19" s="7"/>
    </row>
    <row r="20" ht="18.0" customHeight="true">
      <c r="A20" t="s" s="4">
        <v>285</v>
      </c>
      <c r="B20" s="4"/>
      <c r="C20" s="4"/>
      <c r="D20" s="4"/>
      <c r="E20" s="4"/>
      <c r="F20" s="4"/>
      <c r="G20" s="4"/>
      <c r="H20" s="4"/>
      <c r="I20" s="4"/>
    </row>
    <row r="21" ht="39.0" customHeight="true">
      <c r="A21" t="s" s="6">
        <v>286</v>
      </c>
      <c r="B21" t="s" s="5">
        <v>287</v>
      </c>
      <c r="C21" t="s" s="5">
        <v>288</v>
      </c>
      <c r="D21" t="s" s="5">
        <v>289</v>
      </c>
      <c r="E21" t="s" s="5">
        <v>290</v>
      </c>
      <c r="F21" t="s" s="5">
        <v>291</v>
      </c>
      <c r="G21" s="7"/>
      <c r="H21" s="7"/>
      <c r="I21" s="7"/>
    </row>
    <row r="22" ht="39.0" customHeight="true">
      <c r="A22" t="s" s="6">
        <v>292</v>
      </c>
      <c r="B22" t="s" s="5">
        <v>293</v>
      </c>
      <c r="C22" t="s" s="5">
        <v>294</v>
      </c>
      <c r="D22" t="s" s="5">
        <v>295</v>
      </c>
      <c r="E22" t="s" s="5">
        <v>296</v>
      </c>
      <c r="F22" t="s" s="5">
        <v>297</v>
      </c>
      <c r="G22" s="7"/>
      <c r="H22" s="7"/>
      <c r="I22" s="7"/>
    </row>
    <row r="23" ht="39.0" customHeight="true">
      <c r="A23" t="s" s="6">
        <v>298</v>
      </c>
      <c r="B23" t="s" s="5">
        <v>293</v>
      </c>
      <c r="C23" t="s" s="5">
        <v>299</v>
      </c>
      <c r="D23" t="s" s="5">
        <v>300</v>
      </c>
      <c r="E23" t="s" s="5">
        <v>301</v>
      </c>
      <c r="F23" t="s" s="5">
        <v>302</v>
      </c>
      <c r="G23" s="7"/>
      <c r="H23" s="7"/>
      <c r="I23" s="7"/>
    </row>
    <row r="24" ht="18.0" customHeight="true">
      <c r="A24" t="s" s="4">
        <v>303</v>
      </c>
      <c r="B24" s="4"/>
      <c r="C24" s="4"/>
      <c r="D24" s="4"/>
      <c r="E24" s="4"/>
      <c r="F24" s="4"/>
      <c r="G24" s="4"/>
      <c r="H24" s="4"/>
      <c r="I24" s="4"/>
    </row>
    <row r="25" ht="30.0" customHeight="true">
      <c r="A25" t="s" s="6">
        <v>304</v>
      </c>
      <c r="B25" t="s" s="5">
        <v>305</v>
      </c>
      <c r="C25" t="s" s="5">
        <v>306</v>
      </c>
      <c r="D25" t="s" s="5">
        <v>307</v>
      </c>
      <c r="E25" t="s" s="5">
        <v>308</v>
      </c>
      <c r="F25" t="s" s="5">
        <v>309</v>
      </c>
      <c r="G25" s="7"/>
      <c r="H25" s="7"/>
      <c r="I25" s="7"/>
    </row>
    <row r="26" ht="39.0" customHeight="true">
      <c r="A26" t="s" s="6">
        <v>310</v>
      </c>
      <c r="B26" t="s" s="5">
        <v>305</v>
      </c>
      <c r="C26" t="s" s="5">
        <v>311</v>
      </c>
      <c r="D26" t="s" s="5">
        <v>186</v>
      </c>
      <c r="E26" t="s" s="5">
        <v>312</v>
      </c>
      <c r="F26" t="s" s="5">
        <v>313</v>
      </c>
      <c r="G26" s="7"/>
      <c r="H26" s="7"/>
      <c r="I26" s="7"/>
    </row>
    <row r="27" ht="39.0" customHeight="true">
      <c r="A27" t="s" s="6">
        <v>314</v>
      </c>
      <c r="B27" t="s" s="5">
        <v>315</v>
      </c>
      <c r="C27" t="s" s="5">
        <v>316</v>
      </c>
      <c r="D27" t="s" s="5">
        <v>317</v>
      </c>
      <c r="E27" t="s" s="5">
        <v>318</v>
      </c>
      <c r="F27" t="s" s="5">
        <v>319</v>
      </c>
      <c r="G27" s="7"/>
      <c r="H27" s="7"/>
      <c r="I27" s="7"/>
    </row>
    <row r="28" ht="30.0" customHeight="true">
      <c r="A28" t="s" s="6">
        <v>320</v>
      </c>
      <c r="B28" t="s" s="5">
        <v>315</v>
      </c>
      <c r="C28" t="s" s="5">
        <v>321</v>
      </c>
      <c r="D28" t="s" s="5">
        <v>322</v>
      </c>
      <c r="E28" t="s" s="5">
        <v>323</v>
      </c>
      <c r="F28" t="s" s="5">
        <v>324</v>
      </c>
      <c r="G28" s="7"/>
      <c r="H28" s="7"/>
      <c r="I28" s="7"/>
    </row>
    <row r="29" ht="18.0" customHeight="true">
      <c r="A29" t="s" s="4">
        <v>325</v>
      </c>
      <c r="B29" s="4"/>
      <c r="C29" s="4"/>
      <c r="D29" s="4"/>
      <c r="E29" s="4"/>
      <c r="F29" s="4"/>
      <c r="G29" s="4"/>
      <c r="H29" s="4"/>
      <c r="I29" s="4"/>
    </row>
    <row r="30" ht="39.0" customHeight="true">
      <c r="A30" t="s" s="6">
        <v>326</v>
      </c>
      <c r="B30" t="s" s="5">
        <v>327</v>
      </c>
      <c r="C30" t="s" s="5">
        <v>328</v>
      </c>
      <c r="D30" t="s" s="5">
        <v>329</v>
      </c>
      <c r="E30" t="s" s="5">
        <v>330</v>
      </c>
      <c r="F30" t="s" s="5">
        <v>331</v>
      </c>
      <c r="G30" s="7"/>
      <c r="H30" s="7"/>
      <c r="I30" s="7"/>
    </row>
    <row r="31" ht="39.0" customHeight="true">
      <c r="A31" t="s" s="6">
        <v>332</v>
      </c>
      <c r="B31" t="s" s="5">
        <v>327</v>
      </c>
      <c r="C31" t="s" s="5">
        <v>333</v>
      </c>
      <c r="D31" t="s" s="5">
        <v>329</v>
      </c>
      <c r="E31" t="s" s="5">
        <v>334</v>
      </c>
      <c r="F31" t="s" s="5">
        <v>335</v>
      </c>
      <c r="G31" s="7"/>
      <c r="H31" s="7"/>
      <c r="I31" s="7"/>
    </row>
    <row r="32" ht="30.0" customHeight="true">
      <c r="A32" t="s" s="6">
        <v>336</v>
      </c>
      <c r="B32" t="s" s="5">
        <v>327</v>
      </c>
      <c r="C32" t="s" s="5">
        <v>337</v>
      </c>
      <c r="D32" t="s" s="5">
        <v>338</v>
      </c>
      <c r="E32" t="s" s="5">
        <v>339</v>
      </c>
      <c r="F32" t="s" s="5">
        <v>340</v>
      </c>
      <c r="G32" s="7"/>
      <c r="H32" s="7"/>
      <c r="I32" s="7"/>
    </row>
    <row r="33" ht="18.0" customHeight="true">
      <c r="A33" t="s" s="4">
        <v>341</v>
      </c>
      <c r="B33" s="4"/>
      <c r="C33" s="4"/>
      <c r="D33" s="4"/>
      <c r="E33" s="4"/>
      <c r="F33" s="4"/>
      <c r="G33" s="4"/>
      <c r="H33" s="4"/>
      <c r="I33" s="4"/>
    </row>
    <row r="34" ht="30.0" customHeight="true">
      <c r="A34" t="s" s="6">
        <v>342</v>
      </c>
      <c r="B34" t="s" s="5">
        <v>343</v>
      </c>
      <c r="C34" t="s" s="5">
        <v>344</v>
      </c>
      <c r="D34" t="s" s="5">
        <v>345</v>
      </c>
      <c r="E34" t="s" s="5">
        <v>346</v>
      </c>
      <c r="F34" t="s" s="5">
        <v>347</v>
      </c>
      <c r="G34" s="7"/>
      <c r="H34" s="7"/>
      <c r="I34" s="7"/>
    </row>
    <row r="35" ht="30.0" customHeight="true">
      <c r="A35" t="s" s="6">
        <v>348</v>
      </c>
      <c r="B35" t="s" s="5">
        <v>343</v>
      </c>
      <c r="C35" t="s" s="5">
        <v>349</v>
      </c>
      <c r="D35" t="s" s="5">
        <v>350</v>
      </c>
      <c r="E35" t="s" s="5">
        <v>21</v>
      </c>
      <c r="F35" t="s" s="5">
        <v>351</v>
      </c>
      <c r="G35" s="7"/>
      <c r="H35" s="7"/>
      <c r="I35" s="7"/>
    </row>
    <row r="36" ht="52.0" customHeight="true">
      <c r="A36" t="s" s="6">
        <v>352</v>
      </c>
      <c r="B36" t="s" s="5">
        <v>343</v>
      </c>
      <c r="C36" t="s" s="5">
        <v>353</v>
      </c>
      <c r="D36" t="s" s="5">
        <v>354</v>
      </c>
      <c r="E36" t="s" s="5">
        <v>355</v>
      </c>
      <c r="F36" t="s" s="5">
        <v>356</v>
      </c>
      <c r="G36" s="7"/>
      <c r="H36" s="7"/>
      <c r="I36" s="7"/>
    </row>
    <row r="38">
      <c r="A38" t="s" s="8">
        <v>210</v>
      </c>
      <c r="B38" s="8"/>
      <c r="C38" s="8"/>
      <c r="D38" s="8"/>
      <c r="E38" s="8"/>
      <c r="F38" s="8"/>
      <c r="G38" s="8"/>
      <c r="H38" s="8"/>
      <c r="I38" s="8"/>
    </row>
    <row r="39">
      <c r="A39" t="s" s="8">
        <v>211</v>
      </c>
      <c r="B39" s="8"/>
      <c r="C39" s="8"/>
      <c r="D39" s="8"/>
      <c r="E39" s="8"/>
      <c r="F39" t="n" s="8">
        <f>COUNTA($A$5:$A$36)-COUNTIF($A$5:$A$36,"")</f>
        <v>0.0</v>
      </c>
      <c r="G39" s="8"/>
      <c r="H39" s="8"/>
      <c r="I39" s="8"/>
    </row>
    <row r="40">
      <c r="A40" t="s" s="8">
        <v>212</v>
      </c>
      <c r="B40" s="8"/>
      <c r="C40" s="8"/>
      <c r="D40" s="8"/>
      <c r="E40" s="8"/>
      <c r="F40" t="n" s="8">
        <f>COUNTIF($H$5:$H$36,"OK")</f>
        <v>0.0</v>
      </c>
      <c r="G40" s="8"/>
      <c r="H40" s="8"/>
      <c r="I40" s="8"/>
    </row>
    <row r="41">
      <c r="A41" t="s" s="8">
        <v>213</v>
      </c>
      <c r="B41" s="8"/>
      <c r="C41" s="8"/>
      <c r="D41" s="8"/>
      <c r="E41" s="8"/>
      <c r="F41" t="n" s="8">
        <f>COUNTIF($H$5:$H$36,"KO")</f>
        <v>0.0</v>
      </c>
      <c r="G41" s="8"/>
      <c r="H41" s="8"/>
      <c r="I41" s="8"/>
    </row>
    <row r="42">
      <c r="A42" t="s" s="8">
        <v>214</v>
      </c>
      <c r="B42" s="8"/>
      <c r="C42" s="8"/>
      <c r="D42" s="8"/>
      <c r="E42" s="8"/>
      <c r="F42" t="n" s="8">
        <f>COUNTIF($H$5:$H$36,"N/A")</f>
        <v>0.0</v>
      </c>
      <c r="G42" s="8"/>
      <c r="H42" s="8"/>
      <c r="I42" s="8"/>
    </row>
    <row r="44" ht="22.0" customHeight="true">
      <c r="A44" t="s" s="2">
        <v>215</v>
      </c>
    </row>
  </sheetData>
  <mergeCells count="20">
    <mergeCell ref="A1:I1"/>
    <mergeCell ref="A2:I2"/>
    <mergeCell ref="A5:I5"/>
    <mergeCell ref="A10:I10"/>
    <mergeCell ref="A17:I17"/>
    <mergeCell ref="A20:I20"/>
    <mergeCell ref="A24:I24"/>
    <mergeCell ref="A29:I29"/>
    <mergeCell ref="A33:I33"/>
    <mergeCell ref="A38:E38"/>
    <mergeCell ref="F38:I38"/>
    <mergeCell ref="A39:E39"/>
    <mergeCell ref="F39:I39"/>
    <mergeCell ref="A40:E40"/>
    <mergeCell ref="F40:I40"/>
    <mergeCell ref="A41:E41"/>
    <mergeCell ref="F41:I41"/>
    <mergeCell ref="A42:E42"/>
    <mergeCell ref="F42:I42"/>
    <mergeCell ref="A44:I44"/>
  </mergeCells>
  <pageMargins bottom="0.75" footer="0.3" header="0.3" left="0.3" right="0.3" top="0.75"/>
  <pageSetup orientation="landscape" paperSize="9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2026-09-03T16:08:24Z</dcterms:created>
  <dc:creator>Apache POI</dc:creator>
</cp:coreProperties>
</file>