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ojet\p3\prestige\.claude\worktrees\audits-code-dffa0a\docs\notices\"/>
    </mc:Choice>
  </mc:AlternateContent>
  <xr:revisionPtr revIDLastSave="0" documentId="8_{C09080CF-5C60-4096-B9AC-94B2F09FE44D}" xr6:coauthVersionLast="47" xr6:coauthVersionMax="47" xr10:uidLastSave="{00000000-0000-0000-0000-000000000000}"/>
  <bookViews>
    <workbookView xWindow="3240" yWindow="3240" windowWidth="21600" windowHeight="11295" xr2:uid="{DEC06F34-9FFC-4B4D-9419-3013DA965F24}"/>
  </bookViews>
  <sheets>
    <sheet name="Mode d'emploi" sheetId="1" r:id="rId1"/>
    <sheet name="Cas de recette" sheetId="2" r:id="rId2"/>
    <sheet name="Synthèse" sheetId="3" r:id="rId3"/>
    <sheet name="Questions et décisions" sheetId="4" r:id="rId4"/>
  </sheets>
  <definedNames>
    <definedName name="_xlnm._FilterDatabase" localSheetId="1" hidden="1">'Cas de recette'!$A$1:$O$20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3" l="1"/>
  <c r="F11" i="3"/>
  <c r="E11" i="3"/>
  <c r="D11" i="3"/>
  <c r="C11" i="3"/>
  <c r="B11" i="3"/>
  <c r="G10" i="3"/>
  <c r="F10" i="3"/>
  <c r="E10" i="3"/>
  <c r="D10" i="3"/>
  <c r="C10" i="3"/>
  <c r="B10" i="3"/>
  <c r="G9" i="3"/>
  <c r="F9" i="3"/>
  <c r="E9" i="3"/>
  <c r="D9" i="3"/>
  <c r="C9" i="3"/>
  <c r="B9" i="3"/>
  <c r="G8" i="3"/>
  <c r="F8" i="3"/>
  <c r="E8" i="3"/>
  <c r="D8" i="3"/>
  <c r="C8" i="3"/>
  <c r="B8" i="3"/>
  <c r="G7" i="3"/>
  <c r="F7" i="3"/>
  <c r="E7" i="3"/>
  <c r="D7" i="3"/>
  <c r="C7" i="3"/>
  <c r="B7" i="3"/>
  <c r="G6" i="3"/>
  <c r="F6" i="3"/>
  <c r="E6" i="3"/>
  <c r="D6" i="3"/>
  <c r="C6" i="3"/>
  <c r="B6" i="3"/>
  <c r="G5" i="3"/>
  <c r="F5" i="3"/>
  <c r="E5" i="3"/>
  <c r="D5" i="3"/>
  <c r="C5" i="3"/>
  <c r="B5" i="3"/>
  <c r="G4" i="3"/>
  <c r="F4" i="3"/>
  <c r="E4" i="3"/>
  <c r="D4" i="3"/>
  <c r="C4" i="3"/>
  <c r="B4" i="3"/>
  <c r="G3" i="3"/>
  <c r="F3" i="3"/>
  <c r="E3" i="3"/>
  <c r="D3" i="3"/>
  <c r="C3" i="3"/>
  <c r="B3" i="3"/>
  <c r="G2" i="3"/>
  <c r="F2" i="3"/>
  <c r="E2" i="3"/>
  <c r="D2" i="3"/>
  <c r="C2" i="3"/>
  <c r="B2" i="3"/>
</calcChain>
</file>

<file path=xl/sharedStrings.xml><?xml version="1.0" encoding="utf-8"?>
<sst xmlns="http://schemas.openxmlformats.org/spreadsheetml/2006/main" count="247" uniqueCount="192">
  <si>
    <t>Cahier de recette : points à revoir (retours du 28/10/2026)</t>
  </si>
  <si>
    <t>Version testée</t>
  </si>
  <si>
    <t>Branche PRES-/audits-code-dffa0a, commit 44378ec9 (28/10/2026 au soir). Serveur de recette domain3 : http://localhost:10090/prestige, base laborex_audit (copie de laborex_v1_db, envois SMS, e-mail, WhatsApp et PharmaML coupés). domain1 et laborex_v1_db ne sont pas touchés.</t>
  </si>
  <si>
    <t>Référence</t>
  </si>
  <si>
    <t>docs/notices/RETOURS_RECETTE_2026-10-28.md (réponses détaillées, résultats des tests) ; sorties des tests : docs/notices/preuves-audits-2026-10-25/retours-ecran-2026-10-28/.</t>
  </si>
  <si>
    <t>Contenu</t>
  </si>
  <si>
    <t>Les points relevés lors de ta recette du 28/10 : corrections à vérifier à l'écran, cas dont le test doit être refait par l'écran, non-régressions demandées, et constats nouveaux.</t>
  </si>
  <si>
    <t>Règle des tests</t>
  </si>
  <si>
    <t>Chaque procédure se joue comme un utilisateur : menus, clavier, boutons visibles. Aucun appel direct au serveur. Seule la préparation des données peut se faire autrement.</t>
  </si>
  <si>
    <t>Colonne « Test automatique »</t>
  </si>
  <si>
    <t>Nom du test d'écran et son résultat sur domain3 : ancienne version (6724b004) → version corrigée. « aucun » : pas encore de test, à jouer à la main.</t>
  </si>
  <si>
    <t>À remplir</t>
  </si>
  <si>
    <t>Résultat obtenu, Statut (OK, KO, Bloqué, Non joué), Testeur, Date, Commentaire. La feuille « Synthèse » se calcule seule à partir du statut.</t>
  </si>
  <si>
    <t>Gravité</t>
  </si>
  <si>
    <t>A : argent, stock ou dette faux, ou donnée perdue. B : écran ou donnée incohérente sans perte. C : confort, affichage.</t>
  </si>
  <si>
    <t>Questions</t>
  </si>
  <si>
    <t>La feuille « Questions et décisions » liste ce qui attend ta réponse.</t>
  </si>
  <si>
    <t>N°</t>
  </si>
  <si>
    <t>Module</t>
  </si>
  <si>
    <t>Réf.</t>
  </si>
  <si>
    <t>Titre</t>
  </si>
  <si>
    <t>Données / préconditions</t>
  </si>
  <si>
    <t>Procédure</t>
  </si>
  <si>
    <t>Résultat attendu</t>
  </si>
  <si>
    <t>Constaté avant correction</t>
  </si>
  <si>
    <t>Test automatique</t>
  </si>
  <si>
    <t>Résultat obtenu</t>
  </si>
  <si>
    <t>Statut</t>
  </si>
  <si>
    <t>Testeur</t>
  </si>
  <si>
    <t>Date</t>
  </si>
  <si>
    <t>Commentaire</t>
  </si>
  <si>
    <t>Vente assurance</t>
  </si>
  <si>
    <t>CA-09</t>
  </si>
  <si>
    <t>A</t>
  </si>
  <si>
    <t>Changement d'organisme d'une vente terminée : encours affiché</t>
  </si>
  <si>
    <t>Client assuré chez A (90 %, principale) et C (10 %). Une vente assurance encaissée sur A seul. Organisme B non rattaché au client.</t>
  </si>
  <si>
    <t>1. GESTION DES TIERS-PAYANTS &gt; Tiers-payants : rechercher A puis B, noter la colonne « Encours ».
2. SERVICE CLIENT &gt; Vente terminées : dates et n° de la vente, « rechercher ».
3. Icône « Modifier info client » de la ligne.
4. « Modifier le tiers-payant », choisir B, « Valider ».
5. « Enregistrer », répondre « Non » à l'impression.
6. Revenir dans « Tiers-payants » et relire A et B.</t>
  </si>
  <si>
    <t>L'encours de A baisse de la part de la vente ; celui de B monte de la part du nouveau bon (à 1 F près, voir le cas 15).</t>
  </si>
  <si>
    <t>B : 0 → 0. Le bon recréé pour B avait un reste dû vide, ignoré par l'écran.</t>
  </si>
  <si>
    <t>test-ecran-modifier-tp-vente-encours.js : 7/9 → 9/9 (A 2 551 → 0, B 0 → 2 552)</t>
  </si>
  <si>
    <t>Facturation</t>
  </si>
  <si>
    <t>Bon d'une vente modifiée : facturé et réglé</t>
  </si>
  <si>
    <t>Vente du cas 1, portée par B après modification.</t>
  </si>
  <si>
    <t>1. Facturer l'organisme B sur la période de la vente.
2. Vérifier que le bon de la vente figure dans la facture.
3. Faire un règlement de la facture (montant total).
4. Relire le reste de la facture et l'encours de B.</t>
  </si>
  <si>
    <t>Le bon est facturé ; le règlement le solde ; reste de la facture 0 ; l'encours de B redescend.</t>
  </si>
  <si>
    <t>Un bon sans reste dû était écarté du règlement (constaté en base, pas joué à l'écran).</t>
  </si>
  <si>
    <t>aucun</t>
  </si>
  <si>
    <t>Données</t>
  </si>
  <si>
    <t>B</t>
  </si>
  <si>
    <t>Reprise des anciens bons sans reste dû (script manuel)</t>
  </si>
  <si>
    <t>Sur une copie de base seulement, après sauvegarde. Script : outils/sql/corriger-reste-bons-modifies.sql.</t>
  </si>
  <si>
    <t>1. Lancer la partie « 0. Constat » seule, noter les trois nombres.
2. Lancer tout le script.
3. Lire le contrôle de la partie 4.
4. Dans « Tiers-payants », relire l'encours d'un organisme concerné.</t>
  </si>
  <si>
    <t>Contrôle : 0 bon restant. L'encours des organismes concernés inclut ces bons.</t>
  </si>
  <si>
    <t>laborex_v1_db du 28/10 : 872 bons facturés, 179 non facturés, 15 de ventes annulées, sans reste dû.</t>
  </si>
  <si>
    <t>aucun (script non exécuté)</t>
  </si>
  <si>
    <t>Fiche client</t>
  </si>
  <si>
    <t>M3, point 21</t>
  </si>
  <si>
    <t>Changement de l'assurance principale depuis l'écran de vente</t>
  </si>
  <si>
    <t>Client assuré : A 90 % (principale, priorité 1), C 10 % (priorité 2). Organisme B non rattaché.</t>
  </si>
  <si>
    <t>1. SERVICE CLIENT &gt; Ventes &gt; nouvelle vente, type « Assurance ».
2. Taper le nom du client, Entrée.
3. Icône de modification du client (à côté de son nom).
4. « Assurance » : taper B, la choisir, « Enregistrer ».
5. Rouvrir la fiche et lire la grille « Infos Assurance Complémentaire ».</t>
  </si>
  <si>
    <t>B est la principale. A reste rattachée et active, à une priorité libre (3). Aucune priorité en double.</t>
  </si>
  <si>
    <t>A était supprimée (priorité −1).</t>
  </si>
  <si>
    <t>test-ecran-assurances-client-priorites.js : 8/13 → 13/13</t>
  </si>
  <si>
    <t>M3</t>
  </si>
  <si>
    <t>« Associer une assurance » : priorité proposée</t>
  </si>
  <si>
    <t>Client du cas 4, après le cas 4 (priorités 2 et 3 prises).</t>
  </si>
  <si>
    <t>1. Ouvrir la fiche du client.
2. « Associer une assurance ».
3. Lire le champ « Priorité » sans le toucher.
4. Choisir un organisme D, taux 10, « Enregistrer », puis « Enregistrer » dans la fiche.</t>
  </si>
  <si>
    <t>La priorité proposée est la première libre (4 ici). D est enregistrée à cette priorité ; aucune priorité en double.</t>
  </si>
  <si>
    <t>Toujours 2 proposé : C et D se retrouvaient toutes deux en priorité 2 (ton constat).</t>
  </si>
  <si>
    <t>Priorité saisie déjà prise par une autre assurance</t>
  </si>
  <si>
    <t>Client avec C en priorité 2.</t>
  </si>
  <si>
    <t>1. Fiche du client &gt; « Associer une assurance ».
2. Choisir un organisme E, taux 10, remplacer la priorité par 2.
3. « Enregistrer » deux fois.
4. Rouvrir la fiche.</t>
  </si>
  <si>
    <t>C garde la priorité 2 ; E prend la première priorité libre. Aucune priorité en double.</t>
  </si>
  <si>
    <t>La priorité saisie était enregistrée telle quelle : doublon.</t>
  </si>
  <si>
    <t>repro-assurances-liens.js (P21-b) : 15/15 (par le serveur, pas par l'écran)</t>
  </si>
  <si>
    <t>Retours 28/10</t>
  </si>
  <si>
    <t>Taux, matricule et priorité modifiables dans la grille des complémentaires</t>
  </si>
  <si>
    <t>Client avec au moins une assurance complémentaire.</t>
  </si>
  <si>
    <t>1. Ouvrir la fiche du client depuis l'écran de vente.
2. Cliquer dans la cellule « Taux.Couverture » d'une complémentaire, taper 15, Entrée.
3. Même chose pour « Numéro/SS » puis « RC » (priorité).
4. « Enregistrer », rouvrir la fiche.</t>
  </si>
  <si>
    <t>Les nouvelles valeurs sont gardées. Priorité acceptée de 2 à 4 seulement. Aucune priorité en double.</t>
  </si>
  <si>
    <t>Cellules non modifiables ; le serveur ignorait les changements d'une assurance déjà rattachée.</t>
  </si>
  <si>
    <t>test-ecran-assurances-client-priorites.js, étape 3 : 13/13</t>
  </si>
  <si>
    <t>Ventes terminées</t>
  </si>
  <si>
    <t>Nouvel organisme créé depuis « Modifier info client »</t>
  </si>
  <si>
    <t>Vente assurance terminée d'un client qui a déjà deux assurances (priorités 1 et 2).</t>
  </si>
  <si>
    <t>1. Vente terminées &gt; « Modifier info client ».
2. « Modifier le tiers-payant » &gt; « AJOUTER UN NOUVEAU TIERS-PAYANT ».
3. Saisir nom, téléphone, adresse, code ; « Enregistrer ».
4. Ouvrir la fiche du client et lire les priorités.</t>
  </si>
  <si>
    <t>Le nouvel organisme est rattaché au client à une priorité libre ; aucune priorité en double.</t>
  </si>
  <si>
    <t>Non mesuré avant.</t>
  </si>
  <si>
    <t>test-vente-changer-tiers-payant.js : 7/7 (ne contrôle pas les priorités)</t>
  </si>
  <si>
    <t>Client de recette déjà en double (priorité 2 portée deux fois)</t>
  </si>
  <si>
    <t>Ton client de test du 28/10 (68dcd776-…), deux liens actifs en priorité 2 sur laborex_v1_db (ou sa copie laborex_audit).</t>
  </si>
  <si>
    <t>1. Écran de vente, type Assurance, choisir ce client.
2. Ouvrir sa fiche, ne rien changer, « Enregistrer ».
3. Rouvrir la fiche.</t>
  </si>
  <si>
    <t>Les priorités sont devenues uniques (l'assurance la plus ancienne garde la 2).</t>
  </si>
  <si>
    <t>Doublon en base depuis le 28/10 14:01.</t>
  </si>
  <si>
    <t>Fiche article</t>
  </si>
  <si>
    <t>VC-11</t>
  </si>
  <si>
    <t>C</t>
  </si>
  <si>
    <t>Stock restant du lot dans « Voir les lots / péremptions »</t>
  </si>
  <si>
    <t>Précondition : la version de « Recherche périmés » de la branche claude/new-session-xm8ptu est intégrée (elle fournit la quantité restante). Un produit avec un lot dont une partie est vendue.</t>
  </si>
  <si>
    <t>1. GESTION DU STOCK &gt; Fiche Article : taper le CIP, Entrée.
2. Sur la ligne, « Voir les lots / péremptions » (icône ou menu « Autres actions »).
3. Lire les colonnes du lot.</t>
  </si>
  <si>
    <t>Colonnes « Quantité saisie » puis « Quantité restante lot », avec le stock restant du lot.</t>
  </si>
  <si>
    <t>Aucune colonne de stock restant.</t>
  </si>
  <si>
    <t>test-fiche-article-qte-restante-lot.js : 2/4 → 3/4 (sans la version retenue de « Recherche périmés », la colonne affiche 0)</t>
  </si>
  <si>
    <t>Recherche périmés</t>
  </si>
  <si>
    <t>Colonnes « Quantité saisie » et « Quantité restante », exports</t>
  </si>
  <si>
    <t>Version de la branche claude/new-session-xm8ptu (décision du 28/10).</t>
  </si>
  <si>
    <t>1. Menu « Recherche périmés » : rechercher un produit à lot entamé.
2. Lire les deux colonnes.
3. Exporter en CSV puis en Excel.</t>
  </si>
  <si>
    <t>Grille : quantité saisie et quantité restante du lot. Exports : les deux colonnes.</t>
  </si>
  <si>
    <t>Une seule colonne « Qunatité » (quantité reçue).</t>
  </si>
  <si>
    <t>aucun sur cette branche (version de la session principale ; exports CSV et Excel à compléter par elle)</t>
  </si>
  <si>
    <t>DIF-02 / DIF-03</t>
  </si>
  <si>
    <t>Bouton « Modifier » sur une vente différée</t>
  </si>
  <si>
    <t>Utilisateur avec le droit « modification de vente ». Ta vente différée 261028_00002 (non annulée) et 261028_00003 (annulée).</t>
  </si>
  <si>
    <t>1. SERVICE CLIENT &gt; Vente terminées : date du 28/10.
2. Regarder la colonne des actions sur 261028_00002, puis sur 261028_00003, puis sur une vente comptant.</t>
  </si>
  <si>
    <t>Bouton présent sur 261028_00002 et sur la vente comptant ; absent sur 261028_00003 (annulée).</t>
  </si>
  <si>
    <t>Tu n'as pas vu le bouton : vente concernée inconnue (voir Questions).</t>
  </si>
  <si>
    <t>aucun (les tests DIF appelaient l'adresse du bouton : à refaire par l'écran)</t>
  </si>
  <si>
    <t>Vente différée</t>
  </si>
  <si>
    <t>DIF-02</t>
  </si>
  <si>
    <t>Modification d'une différée avec acompte, par le bouton</t>
  </si>
  <si>
    <t>Client. Vente comptant de 5 510 F en différé, 2 755 F reçus.</t>
  </si>
  <si>
    <t>1. Vente terminées &gt; « Modifier » sur la vente.
2. Sans rien changer, clôturer la copie en différé, 0 F reçu.
3. Relire la caisse du jour et la dette du client.</t>
  </si>
  <si>
    <t>Caisse nette de la vente + dette restante = 5 510 F.</t>
  </si>
  <si>
    <t>Il manquait 2 755 F (caisse 0, dette 2 755).</t>
  </si>
  <si>
    <t>repro-differes.js (DIF-02) : OK par l'adresse du bouton ; à refaire par l'écran</t>
  </si>
  <si>
    <t>DIF-03</t>
  </si>
  <si>
    <t>Changement de client après un règlement : refus</t>
  </si>
  <si>
    <t>Deux clients X et Y. Vente différée de 5 510 F pour X, puis règlement de 2 755 F par X.</t>
  </si>
  <si>
    <t>1. Vente terminées &gt; « Modifier » sur la vente.
2. Changer le client pour Y, clôturer en différé.
3. Relire les dettes de X et Y.</t>
  </si>
  <si>
    <t>Refus avec un message. Dette de X 2 755, dette de Y 0, réglé par X 2 755.</t>
  </si>
  <si>
    <t>Y devait le prix entier ; le règlement de X n'était ni reporté ni rendu.</t>
  </si>
  <si>
    <t>repro-differes.js (DIF-03) : OK par l'adresse du bouton ; à refaire par l'écran</t>
  </si>
  <si>
    <t>Constat 28/10</t>
  </si>
  <si>
    <t>Part recalculée à la modification de l'organisme (écart d'1 F)</t>
  </si>
  <si>
    <t>Vente du cas 1.</t>
  </si>
  <si>
    <t>1. Noter la part de l'organisme sur le ticket de la vente.
2. Faire le cas 1 (A → B).
3. Relire la part de B (ticket réimprimé ou facturation).</t>
  </si>
  <si>
    <t>À décider : part identique à celle de la vente, ou recalcul accepté.</t>
  </si>
  <si>
    <t>2 551 F à la vente, 2 552 F après la modification.</t>
  </si>
  <si>
    <t>test-ecran-modifier-tp-vente-encours.js (mesure seulement)</t>
  </si>
  <si>
    <t>Vente comptant</t>
  </si>
  <si>
    <t>VC-08</t>
  </si>
  <si>
    <t>Non-régression : client d'une vente en cours</t>
  </si>
  <si>
    <t>Vente comptant en cours, deux clients.</t>
  </si>
  <si>
    <t>1. Ventes &gt; nouvelle vente au comptant, ajouter un produit.
2. Choisir le client X, puis le remplacer par Y.
3. Encaisser.</t>
  </si>
  <si>
    <t>La vente encaissée porte Y. (Une vente déjà encaissée ne change plus de client par cette voie.)</t>
  </si>
  <si>
    <t>—</t>
  </si>
  <si>
    <t>repro-vente-comptant.js (VC-08) : OK le 26/10</t>
  </si>
  <si>
    <t>CR-07</t>
  </si>
  <si>
    <t>Non-régression : part de l'organisme calculée par le serveur</t>
  </si>
  <si>
    <t>Client assuré à 80 %.</t>
  </si>
  <si>
    <t>1. Vente assurance d'une boîte, clôture normale.
2. Comparer la part de l'organisme sur le ticket et dans la facturation.</t>
  </si>
  <si>
    <t>Même part, au taux de 80 %.</t>
  </si>
  <si>
    <t>repro-vente-assurance.js : 17/17 sur domain3</t>
  </si>
  <si>
    <t>CR-10</t>
  </si>
  <si>
    <t>Non-régression : retrait d'un tiers payant d'une vente en cours</t>
  </si>
  <si>
    <t>Client avec deux assurances.</t>
  </si>
  <si>
    <t>1. Vente assurance en cours avec les deux assurances.
2. « Retirer » la seconde avant de clôturer.
3. Clôturer.</t>
  </si>
  <si>
    <t>Le retrait marche ; la vente ne porte que la première assurance.</t>
  </si>
  <si>
    <t>aucun par l'écran</t>
  </si>
  <si>
    <t>CA-03</t>
  </si>
  <si>
    <t>Organisme exclu : seules ses ventes sont exclues</t>
  </si>
  <si>
    <t>Un organisme marqué « exclure » dans « Gérer les tp à exclure », un organisme ordinaire, un client chez chacun.</t>
  </si>
  <si>
    <t>1. Vente assurance encaissée sur l'organisme exclu.
2. Vente assurance encaissée sur l'organisme ordinaire.
3. Ouvrir le suivi des tiers payants exclus.</t>
  </si>
  <si>
    <t>Seule la première vente apparaît comme exclue.</t>
  </si>
  <si>
    <t>Les ventes suivantes étaient inscrites à tort comme exclues.</t>
  </si>
  <si>
    <t>repro-vente-assurance.js (CA-03) : OK par le serveur ; à refaire par l'écran</t>
  </si>
  <si>
    <t>Cas</t>
  </si>
  <si>
    <t>OK</t>
  </si>
  <si>
    <t>KO</t>
  </si>
  <si>
    <t>Bloqué</t>
  </si>
  <si>
    <t>Non joué</t>
  </si>
  <si>
    <t>% OK</t>
  </si>
  <si>
    <t>Total</t>
  </si>
  <si>
    <t>Sujet</t>
  </si>
  <si>
    <t>Question</t>
  </si>
  <si>
    <t>Réponse / décision</t>
  </si>
  <si>
    <t>Par</t>
  </si>
  <si>
    <t>Bouton « Modifier » des différés</t>
  </si>
  <si>
    <t>DIF-02, DIF-03</t>
  </si>
  <si>
    <t>Sur quelle vente le bouton manquait-il : 261028_00002 ou 261028_00003 (annulée) ? Apparaît-il sur les autres ventes avec le même utilisateur ?</t>
  </si>
  <si>
    <t>Acompte d'une différée modifiée</t>
  </si>
  <si>
    <t>La copie doit-elle reprendre automatiquement le montant déjà reçu, ou la caissière le ressaisit-elle (comportement actuel) ?</t>
  </si>
  <si>
    <t>Écart d'1 F</t>
  </si>
  <si>
    <t>À la modification de l'organisme : garder la part de la vente, ou accepter le recalcul ?</t>
  </si>
  <si>
    <t>Script de reprise des bons</t>
  </si>
  <si>
    <t>Sur quelles bases, quand et par qui exécuter outils/sql/corriger-reste-bons-modifies.sql ?</t>
  </si>
  <si>
    <t>Priorité saisie déjà prise</t>
  </si>
  <si>
    <t>Aujourd'hui l'assurance la plus ancienne garde la priorité et la nouvelle passe à la suivante. Faut-il au contraire donner raison à la saisie et décaler l'autre ?</t>
  </si>
  <si>
    <t>Vente en dépôt</t>
  </si>
  <si>
    <t>La grille des complémentaires doit-elle aussi devenir modifiable dans la fiche client de la vente en dépôt ?</t>
  </si>
  <si>
    <t>Serveur domain3</t>
  </si>
  <si>
    <t>Garder domain3 et la copie laborex_audit après ta recette, ou les supprimer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</si>
</sst>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color rgb="FFFFFFFF"/>
      <name val="Aptos Narrow"/>
      <family val="2"/>
      <scheme val="minor"/>
    </font>
  </fonts>
  <fills count="4">
    <fill>
      <patternFill patternType="none"/>
    </fill>
    <fill>
      <patternFill patternType="gray125"/>
    </fill>
    <fill>
      <patternFill patternType="solid">
        <fgColor rgb="FF1F3D7A"/>
        <bgColor indexed="64"/>
      </patternFill>
    </fill>
    <fill>
      <patternFill patternType="solid">
        <fgColor rgb="FFDDEBF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1" fillId="0" borderId="0" xfId="0" applyFont="1" applyAlignment="1">
      <alignment vertical="top"/>
    </xf>
    <xf numFmtId="0" fontId="0" fillId="0" borderId="0" xfId="0" applyAlignment="1">
      <alignment vertical="top" wrapText="1"/>
    </xf>
    <xf numFmtId="0" fontId="3"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14" fontId="0" fillId="3" borderId="1" xfId="0" applyNumberFormat="1" applyFill="1" applyBorder="1" applyAlignment="1">
      <alignment vertical="top" wrapText="1"/>
    </xf>
    <xf numFmtId="0" fontId="0" fillId="0" borderId="1" xfId="0" applyBorder="1"/>
    <xf numFmtId="9" fontId="0" fillId="0" borderId="1" xfId="0" applyNumberFormat="1" applyBorder="1"/>
    <xf numFmtId="0" fontId="1" fillId="0" borderId="1" xfId="0" applyFont="1" applyBorder="1"/>
    <xf numFmtId="9" fontId="1"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8065-B26F-48EB-9F93-12B7223E5D97}">
  <sheetPr>
    <pageSetUpPr fitToPage="1"/>
  </sheetPr>
  <dimension ref="A1:B11"/>
  <sheetViews>
    <sheetView tabSelected="1" workbookViewId="0"/>
  </sheetViews>
  <sheetFormatPr baseColWidth="10" defaultRowHeight="15" x14ac:dyDescent="0.25"/>
  <cols>
    <col min="1" max="1" width="26.7109375" customWidth="1"/>
    <col min="2" max="2" width="120.7109375" customWidth="1"/>
  </cols>
  <sheetData>
    <row r="1" spans="1:2" ht="18.75" x14ac:dyDescent="0.3">
      <c r="A1" s="1" t="s">
        <v>0</v>
      </c>
    </row>
    <row r="3" spans="1:2" ht="45" x14ac:dyDescent="0.25">
      <c r="A3" s="2" t="s">
        <v>1</v>
      </c>
      <c r="B3" s="3" t="s">
        <v>2</v>
      </c>
    </row>
    <row r="4" spans="1:2" ht="30" x14ac:dyDescent="0.25">
      <c r="A4" s="2" t="s">
        <v>3</v>
      </c>
      <c r="B4" s="3" t="s">
        <v>4</v>
      </c>
    </row>
    <row r="5" spans="1:2" ht="30" x14ac:dyDescent="0.25">
      <c r="A5" s="2" t="s">
        <v>5</v>
      </c>
      <c r="B5" s="3" t="s">
        <v>6</v>
      </c>
    </row>
    <row r="6" spans="1:2" ht="30" x14ac:dyDescent="0.25">
      <c r="A6" s="2" t="s">
        <v>7</v>
      </c>
      <c r="B6" s="3" t="s">
        <v>8</v>
      </c>
    </row>
    <row r="7" spans="1:2" ht="30" x14ac:dyDescent="0.25">
      <c r="A7" s="2" t="s">
        <v>9</v>
      </c>
      <c r="B7" s="3" t="s">
        <v>10</v>
      </c>
    </row>
    <row r="8" spans="1:2" ht="30" x14ac:dyDescent="0.25">
      <c r="A8" s="2" t="s">
        <v>11</v>
      </c>
      <c r="B8" s="3" t="s">
        <v>12</v>
      </c>
    </row>
    <row r="9" spans="1:2" x14ac:dyDescent="0.25">
      <c r="A9" s="2" t="s">
        <v>13</v>
      </c>
      <c r="B9" s="3" t="s">
        <v>14</v>
      </c>
    </row>
    <row r="10" spans="1:2" x14ac:dyDescent="0.25">
      <c r="A10" s="2" t="s">
        <v>15</v>
      </c>
      <c r="B10" s="3" t="s">
        <v>16</v>
      </c>
    </row>
    <row r="11" spans="1:2" x14ac:dyDescent="0.25">
      <c r="A11" s="2"/>
      <c r="B11" s="3"/>
    </row>
  </sheetData>
  <pageMargins left="0.7" right="0.7" top="0.75" bottom="0.75"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C7B8-0748-47A4-A17E-66C0A8B15017}">
  <sheetPr>
    <pageSetUpPr fitToPage="1"/>
  </sheetPr>
  <dimension ref="A1:O20"/>
  <sheetViews>
    <sheetView workbookViewId="0">
      <pane xSplit="5" ySplit="1" topLeftCell="F2" activePane="bottomRight" state="frozenSplit"/>
      <selection pane="bottomLeft" activeCell="A2" sqref="A2"/>
      <selection pane="topRight" activeCell="F1" sqref="F1"/>
      <selection pane="bottomRight"/>
    </sheetView>
  </sheetViews>
  <sheetFormatPr baseColWidth="10" defaultRowHeight="15" x14ac:dyDescent="0.25"/>
  <cols>
    <col min="1" max="1" width="5.7109375" customWidth="1"/>
    <col min="2" max="2" width="16.7109375" customWidth="1"/>
    <col min="3" max="3" width="13.7109375" customWidth="1"/>
    <col min="4" max="4" width="8.7109375" customWidth="1"/>
    <col min="5" max="5" width="30.7109375" customWidth="1"/>
    <col min="6" max="6" width="36.7109375" customWidth="1"/>
    <col min="7" max="7" width="55.7109375" customWidth="1"/>
    <col min="8" max="8" width="40.7109375" customWidth="1"/>
    <col min="9" max="10" width="34.7109375" customWidth="1"/>
    <col min="11" max="11" width="30.7109375" customWidth="1"/>
    <col min="12" max="12" width="11.7109375" customWidth="1"/>
    <col min="13" max="13" width="12.7109375" customWidth="1"/>
    <col min="14" max="14" width="11.7109375" customWidth="1"/>
    <col min="15" max="15" width="30.7109375" customWidth="1"/>
  </cols>
  <sheetData>
    <row r="1" spans="1:15" ht="45" x14ac:dyDescent="0.25">
      <c r="A1" s="4" t="s">
        <v>17</v>
      </c>
      <c r="B1" s="4" t="s">
        <v>18</v>
      </c>
      <c r="C1" s="4" t="s">
        <v>19</v>
      </c>
      <c r="D1" s="4" t="s">
        <v>13</v>
      </c>
      <c r="E1" s="4" t="s">
        <v>20</v>
      </c>
      <c r="F1" s="4" t="s">
        <v>21</v>
      </c>
      <c r="G1" s="4" t="s">
        <v>22</v>
      </c>
      <c r="H1" s="4" t="s">
        <v>23</v>
      </c>
      <c r="I1" s="4" t="s">
        <v>24</v>
      </c>
      <c r="J1" s="4" t="s">
        <v>25</v>
      </c>
      <c r="K1" s="4" t="s">
        <v>26</v>
      </c>
      <c r="L1" s="4" t="s">
        <v>27</v>
      </c>
      <c r="M1" s="4" t="s">
        <v>28</v>
      </c>
      <c r="N1" s="4" t="s">
        <v>29</v>
      </c>
      <c r="O1" s="4" t="s">
        <v>30</v>
      </c>
    </row>
    <row r="2" spans="1:15" ht="120" x14ac:dyDescent="0.25">
      <c r="A2" s="5">
        <v>1</v>
      </c>
      <c r="B2" s="5" t="s">
        <v>31</v>
      </c>
      <c r="C2" s="5" t="s">
        <v>32</v>
      </c>
      <c r="D2" s="5" t="s">
        <v>33</v>
      </c>
      <c r="E2" s="5" t="s">
        <v>34</v>
      </c>
      <c r="F2" s="5" t="s">
        <v>35</v>
      </c>
      <c r="G2" s="5" t="s">
        <v>36</v>
      </c>
      <c r="H2" s="5" t="s">
        <v>37</v>
      </c>
      <c r="I2" s="5" t="s">
        <v>38</v>
      </c>
      <c r="J2" s="5" t="s">
        <v>39</v>
      </c>
      <c r="K2" s="6"/>
      <c r="L2" s="6"/>
      <c r="M2" s="6"/>
      <c r="N2" s="7"/>
      <c r="O2" s="6"/>
    </row>
    <row r="3" spans="1:15" ht="60" x14ac:dyDescent="0.25">
      <c r="A3" s="5">
        <v>2</v>
      </c>
      <c r="B3" s="5" t="s">
        <v>40</v>
      </c>
      <c r="C3" s="5" t="s">
        <v>32</v>
      </c>
      <c r="D3" s="5" t="s">
        <v>33</v>
      </c>
      <c r="E3" s="5" t="s">
        <v>41</v>
      </c>
      <c r="F3" s="5" t="s">
        <v>42</v>
      </c>
      <c r="G3" s="5" t="s">
        <v>43</v>
      </c>
      <c r="H3" s="5" t="s">
        <v>44</v>
      </c>
      <c r="I3" s="5" t="s">
        <v>45</v>
      </c>
      <c r="J3" s="5" t="s">
        <v>46</v>
      </c>
      <c r="K3" s="6"/>
      <c r="L3" s="6"/>
      <c r="M3" s="6"/>
      <c r="N3" s="7"/>
      <c r="O3" s="6"/>
    </row>
    <row r="4" spans="1:15" ht="90" x14ac:dyDescent="0.25">
      <c r="A4" s="5">
        <v>3</v>
      </c>
      <c r="B4" s="5" t="s">
        <v>47</v>
      </c>
      <c r="C4" s="5" t="s">
        <v>32</v>
      </c>
      <c r="D4" s="5" t="s">
        <v>48</v>
      </c>
      <c r="E4" s="5" t="s">
        <v>49</v>
      </c>
      <c r="F4" s="5" t="s">
        <v>50</v>
      </c>
      <c r="G4" s="5" t="s">
        <v>51</v>
      </c>
      <c r="H4" s="5" t="s">
        <v>52</v>
      </c>
      <c r="I4" s="5" t="s">
        <v>53</v>
      </c>
      <c r="J4" s="5" t="s">
        <v>54</v>
      </c>
      <c r="K4" s="6"/>
      <c r="L4" s="6"/>
      <c r="M4" s="6"/>
      <c r="N4" s="7"/>
      <c r="O4" s="6"/>
    </row>
    <row r="5" spans="1:15" ht="105" x14ac:dyDescent="0.25">
      <c r="A5" s="5">
        <v>4</v>
      </c>
      <c r="B5" s="5" t="s">
        <v>55</v>
      </c>
      <c r="C5" s="5" t="s">
        <v>56</v>
      </c>
      <c r="D5" s="5" t="s">
        <v>33</v>
      </c>
      <c r="E5" s="5" t="s">
        <v>57</v>
      </c>
      <c r="F5" s="5" t="s">
        <v>58</v>
      </c>
      <c r="G5" s="5" t="s">
        <v>59</v>
      </c>
      <c r="H5" s="5" t="s">
        <v>60</v>
      </c>
      <c r="I5" s="5" t="s">
        <v>61</v>
      </c>
      <c r="J5" s="5" t="s">
        <v>62</v>
      </c>
      <c r="K5" s="6"/>
      <c r="L5" s="6"/>
      <c r="M5" s="6"/>
      <c r="N5" s="7"/>
      <c r="O5" s="6"/>
    </row>
    <row r="6" spans="1:15" ht="75" x14ac:dyDescent="0.25">
      <c r="A6" s="5">
        <v>5</v>
      </c>
      <c r="B6" s="5" t="s">
        <v>55</v>
      </c>
      <c r="C6" s="5" t="s">
        <v>63</v>
      </c>
      <c r="D6" s="5" t="s">
        <v>33</v>
      </c>
      <c r="E6" s="5" t="s">
        <v>64</v>
      </c>
      <c r="F6" s="5" t="s">
        <v>65</v>
      </c>
      <c r="G6" s="5" t="s">
        <v>66</v>
      </c>
      <c r="H6" s="5" t="s">
        <v>67</v>
      </c>
      <c r="I6" s="5" t="s">
        <v>68</v>
      </c>
      <c r="J6" s="5" t="s">
        <v>62</v>
      </c>
      <c r="K6" s="6"/>
      <c r="L6" s="6"/>
      <c r="M6" s="6"/>
      <c r="N6" s="7"/>
      <c r="O6" s="6"/>
    </row>
    <row r="7" spans="1:15" ht="75" x14ac:dyDescent="0.25">
      <c r="A7" s="5">
        <v>6</v>
      </c>
      <c r="B7" s="5" t="s">
        <v>55</v>
      </c>
      <c r="C7" s="5" t="s">
        <v>63</v>
      </c>
      <c r="D7" s="5" t="s">
        <v>33</v>
      </c>
      <c r="E7" s="5" t="s">
        <v>69</v>
      </c>
      <c r="F7" s="5" t="s">
        <v>70</v>
      </c>
      <c r="G7" s="5" t="s">
        <v>71</v>
      </c>
      <c r="H7" s="5" t="s">
        <v>72</v>
      </c>
      <c r="I7" s="5" t="s">
        <v>73</v>
      </c>
      <c r="J7" s="5" t="s">
        <v>74</v>
      </c>
      <c r="K7" s="6"/>
      <c r="L7" s="6"/>
      <c r="M7" s="6"/>
      <c r="N7" s="7"/>
      <c r="O7" s="6"/>
    </row>
    <row r="8" spans="1:15" ht="75" x14ac:dyDescent="0.25">
      <c r="A8" s="5">
        <v>7</v>
      </c>
      <c r="B8" s="5" t="s">
        <v>55</v>
      </c>
      <c r="C8" s="5" t="s">
        <v>75</v>
      </c>
      <c r="D8" s="5" t="s">
        <v>48</v>
      </c>
      <c r="E8" s="5" t="s">
        <v>76</v>
      </c>
      <c r="F8" s="5" t="s">
        <v>77</v>
      </c>
      <c r="G8" s="5" t="s">
        <v>78</v>
      </c>
      <c r="H8" s="5" t="s">
        <v>79</v>
      </c>
      <c r="I8" s="5" t="s">
        <v>80</v>
      </c>
      <c r="J8" s="5" t="s">
        <v>81</v>
      </c>
      <c r="K8" s="6"/>
      <c r="L8" s="6"/>
      <c r="M8" s="6"/>
      <c r="N8" s="7"/>
      <c r="O8" s="6"/>
    </row>
    <row r="9" spans="1:15" ht="75" x14ac:dyDescent="0.25">
      <c r="A9" s="5">
        <v>8</v>
      </c>
      <c r="B9" s="5" t="s">
        <v>82</v>
      </c>
      <c r="C9" s="5" t="s">
        <v>63</v>
      </c>
      <c r="D9" s="5" t="s">
        <v>48</v>
      </c>
      <c r="E9" s="5" t="s">
        <v>83</v>
      </c>
      <c r="F9" s="5" t="s">
        <v>84</v>
      </c>
      <c r="G9" s="5" t="s">
        <v>85</v>
      </c>
      <c r="H9" s="5" t="s">
        <v>86</v>
      </c>
      <c r="I9" s="5" t="s">
        <v>87</v>
      </c>
      <c r="J9" s="5" t="s">
        <v>88</v>
      </c>
      <c r="K9" s="6"/>
      <c r="L9" s="6"/>
      <c r="M9" s="6"/>
      <c r="N9" s="7"/>
      <c r="O9" s="6"/>
    </row>
    <row r="10" spans="1:15" ht="60" x14ac:dyDescent="0.25">
      <c r="A10" s="5">
        <v>9</v>
      </c>
      <c r="B10" s="5" t="s">
        <v>47</v>
      </c>
      <c r="C10" s="5" t="s">
        <v>63</v>
      </c>
      <c r="D10" s="5" t="s">
        <v>48</v>
      </c>
      <c r="E10" s="5" t="s">
        <v>89</v>
      </c>
      <c r="F10" s="5" t="s">
        <v>90</v>
      </c>
      <c r="G10" s="5" t="s">
        <v>91</v>
      </c>
      <c r="H10" s="5" t="s">
        <v>92</v>
      </c>
      <c r="I10" s="5" t="s">
        <v>93</v>
      </c>
      <c r="J10" s="5" t="s">
        <v>46</v>
      </c>
      <c r="K10" s="6"/>
      <c r="L10" s="6"/>
      <c r="M10" s="6"/>
      <c r="N10" s="7"/>
      <c r="O10" s="6"/>
    </row>
    <row r="11" spans="1:15" ht="75" x14ac:dyDescent="0.25">
      <c r="A11" s="5">
        <v>10</v>
      </c>
      <c r="B11" s="5" t="s">
        <v>94</v>
      </c>
      <c r="C11" s="5" t="s">
        <v>95</v>
      </c>
      <c r="D11" s="5" t="s">
        <v>96</v>
      </c>
      <c r="E11" s="5" t="s">
        <v>97</v>
      </c>
      <c r="F11" s="5" t="s">
        <v>98</v>
      </c>
      <c r="G11" s="5" t="s">
        <v>99</v>
      </c>
      <c r="H11" s="5" t="s">
        <v>100</v>
      </c>
      <c r="I11" s="5" t="s">
        <v>101</v>
      </c>
      <c r="J11" s="5" t="s">
        <v>102</v>
      </c>
      <c r="K11" s="6"/>
      <c r="L11" s="6"/>
      <c r="M11" s="6"/>
      <c r="N11" s="7"/>
      <c r="O11" s="6"/>
    </row>
    <row r="12" spans="1:15" ht="60" x14ac:dyDescent="0.25">
      <c r="A12" s="5">
        <v>11</v>
      </c>
      <c r="B12" s="5" t="s">
        <v>103</v>
      </c>
      <c r="C12" s="5" t="s">
        <v>95</v>
      </c>
      <c r="D12" s="5" t="s">
        <v>96</v>
      </c>
      <c r="E12" s="5" t="s">
        <v>104</v>
      </c>
      <c r="F12" s="5" t="s">
        <v>105</v>
      </c>
      <c r="G12" s="5" t="s">
        <v>106</v>
      </c>
      <c r="H12" s="5" t="s">
        <v>107</v>
      </c>
      <c r="I12" s="5" t="s">
        <v>108</v>
      </c>
      <c r="J12" s="5" t="s">
        <v>109</v>
      </c>
      <c r="K12" s="6"/>
      <c r="L12" s="6"/>
      <c r="M12" s="6"/>
      <c r="N12" s="7"/>
      <c r="O12" s="6"/>
    </row>
    <row r="13" spans="1:15" ht="60" x14ac:dyDescent="0.25">
      <c r="A13" s="5">
        <v>12</v>
      </c>
      <c r="B13" s="5" t="s">
        <v>82</v>
      </c>
      <c r="C13" s="5" t="s">
        <v>110</v>
      </c>
      <c r="D13" s="5" t="s">
        <v>33</v>
      </c>
      <c r="E13" s="5" t="s">
        <v>111</v>
      </c>
      <c r="F13" s="5" t="s">
        <v>112</v>
      </c>
      <c r="G13" s="5" t="s">
        <v>113</v>
      </c>
      <c r="H13" s="5" t="s">
        <v>114</v>
      </c>
      <c r="I13" s="5" t="s">
        <v>115</v>
      </c>
      <c r="J13" s="5" t="s">
        <v>116</v>
      </c>
      <c r="K13" s="6"/>
      <c r="L13" s="6"/>
      <c r="M13" s="6"/>
      <c r="N13" s="7"/>
      <c r="O13" s="6"/>
    </row>
    <row r="14" spans="1:15" ht="45" x14ac:dyDescent="0.25">
      <c r="A14" s="5">
        <v>13</v>
      </c>
      <c r="B14" s="5" t="s">
        <v>117</v>
      </c>
      <c r="C14" s="5" t="s">
        <v>118</v>
      </c>
      <c r="D14" s="5" t="s">
        <v>33</v>
      </c>
      <c r="E14" s="5" t="s">
        <v>119</v>
      </c>
      <c r="F14" s="5" t="s">
        <v>120</v>
      </c>
      <c r="G14" s="5" t="s">
        <v>121</v>
      </c>
      <c r="H14" s="5" t="s">
        <v>122</v>
      </c>
      <c r="I14" s="5" t="s">
        <v>123</v>
      </c>
      <c r="J14" s="5" t="s">
        <v>124</v>
      </c>
      <c r="K14" s="6"/>
      <c r="L14" s="6"/>
      <c r="M14" s="6"/>
      <c r="N14" s="7"/>
      <c r="O14" s="6"/>
    </row>
    <row r="15" spans="1:15" ht="45" x14ac:dyDescent="0.25">
      <c r="A15" s="5">
        <v>14</v>
      </c>
      <c r="B15" s="5" t="s">
        <v>117</v>
      </c>
      <c r="C15" s="5" t="s">
        <v>125</v>
      </c>
      <c r="D15" s="5" t="s">
        <v>33</v>
      </c>
      <c r="E15" s="5" t="s">
        <v>126</v>
      </c>
      <c r="F15" s="5" t="s">
        <v>127</v>
      </c>
      <c r="G15" s="5" t="s">
        <v>128</v>
      </c>
      <c r="H15" s="5" t="s">
        <v>129</v>
      </c>
      <c r="I15" s="5" t="s">
        <v>130</v>
      </c>
      <c r="J15" s="5" t="s">
        <v>131</v>
      </c>
      <c r="K15" s="6"/>
      <c r="L15" s="6"/>
      <c r="M15" s="6"/>
      <c r="N15" s="7"/>
      <c r="O15" s="6"/>
    </row>
    <row r="16" spans="1:15" ht="45" x14ac:dyDescent="0.25">
      <c r="A16" s="5">
        <v>15</v>
      </c>
      <c r="B16" s="5" t="s">
        <v>31</v>
      </c>
      <c r="C16" s="5" t="s">
        <v>132</v>
      </c>
      <c r="D16" s="5" t="s">
        <v>96</v>
      </c>
      <c r="E16" s="5" t="s">
        <v>133</v>
      </c>
      <c r="F16" s="5" t="s">
        <v>134</v>
      </c>
      <c r="G16" s="5" t="s">
        <v>135</v>
      </c>
      <c r="H16" s="5" t="s">
        <v>136</v>
      </c>
      <c r="I16" s="5" t="s">
        <v>137</v>
      </c>
      <c r="J16" s="5" t="s">
        <v>138</v>
      </c>
      <c r="K16" s="6"/>
      <c r="L16" s="6"/>
      <c r="M16" s="6"/>
      <c r="N16" s="7"/>
      <c r="O16" s="6"/>
    </row>
    <row r="17" spans="1:15" ht="45" x14ac:dyDescent="0.25">
      <c r="A17" s="5">
        <v>16</v>
      </c>
      <c r="B17" s="5" t="s">
        <v>139</v>
      </c>
      <c r="C17" s="5" t="s">
        <v>140</v>
      </c>
      <c r="D17" s="5" t="s">
        <v>48</v>
      </c>
      <c r="E17" s="5" t="s">
        <v>141</v>
      </c>
      <c r="F17" s="5" t="s">
        <v>142</v>
      </c>
      <c r="G17" s="5" t="s">
        <v>143</v>
      </c>
      <c r="H17" s="5" t="s">
        <v>144</v>
      </c>
      <c r="I17" s="5" t="s">
        <v>145</v>
      </c>
      <c r="J17" s="5" t="s">
        <v>146</v>
      </c>
      <c r="K17" s="6"/>
      <c r="L17" s="6"/>
      <c r="M17" s="6"/>
      <c r="N17" s="7"/>
      <c r="O17" s="6"/>
    </row>
    <row r="18" spans="1:15" ht="45" x14ac:dyDescent="0.25">
      <c r="A18" s="5">
        <v>17</v>
      </c>
      <c r="B18" s="5" t="s">
        <v>31</v>
      </c>
      <c r="C18" s="5" t="s">
        <v>147</v>
      </c>
      <c r="D18" s="5" t="s">
        <v>48</v>
      </c>
      <c r="E18" s="5" t="s">
        <v>148</v>
      </c>
      <c r="F18" s="5" t="s">
        <v>149</v>
      </c>
      <c r="G18" s="5" t="s">
        <v>150</v>
      </c>
      <c r="H18" s="5" t="s">
        <v>151</v>
      </c>
      <c r="I18" s="5" t="s">
        <v>145</v>
      </c>
      <c r="J18" s="5" t="s">
        <v>152</v>
      </c>
      <c r="K18" s="6"/>
      <c r="L18" s="6"/>
      <c r="M18" s="6"/>
      <c r="N18" s="7"/>
      <c r="O18" s="6"/>
    </row>
    <row r="19" spans="1:15" ht="45" x14ac:dyDescent="0.25">
      <c r="A19" s="5">
        <v>18</v>
      </c>
      <c r="B19" s="5" t="s">
        <v>31</v>
      </c>
      <c r="C19" s="5" t="s">
        <v>153</v>
      </c>
      <c r="D19" s="5" t="s">
        <v>48</v>
      </c>
      <c r="E19" s="5" t="s">
        <v>154</v>
      </c>
      <c r="F19" s="5" t="s">
        <v>155</v>
      </c>
      <c r="G19" s="5" t="s">
        <v>156</v>
      </c>
      <c r="H19" s="5" t="s">
        <v>157</v>
      </c>
      <c r="I19" s="5" t="s">
        <v>145</v>
      </c>
      <c r="J19" s="5" t="s">
        <v>158</v>
      </c>
      <c r="K19" s="6"/>
      <c r="L19" s="6"/>
      <c r="M19" s="6"/>
      <c r="N19" s="7"/>
      <c r="O19" s="6"/>
    </row>
    <row r="20" spans="1:15" ht="45" x14ac:dyDescent="0.25">
      <c r="A20" s="5">
        <v>19</v>
      </c>
      <c r="B20" s="5" t="s">
        <v>31</v>
      </c>
      <c r="C20" s="5" t="s">
        <v>159</v>
      </c>
      <c r="D20" s="5" t="s">
        <v>33</v>
      </c>
      <c r="E20" s="5" t="s">
        <v>160</v>
      </c>
      <c r="F20" s="5" t="s">
        <v>161</v>
      </c>
      <c r="G20" s="5" t="s">
        <v>162</v>
      </c>
      <c r="H20" s="5" t="s">
        <v>163</v>
      </c>
      <c r="I20" s="5" t="s">
        <v>164</v>
      </c>
      <c r="J20" s="5" t="s">
        <v>165</v>
      </c>
      <c r="K20" s="6"/>
      <c r="L20" s="6"/>
      <c r="M20" s="6"/>
      <c r="N20" s="7"/>
      <c r="O20" s="6"/>
    </row>
  </sheetData>
  <autoFilter ref="A1:O20" xr:uid="{CFABC7B8-0748-47A4-A17E-66C0A8B15017}"/>
  <dataValidations count="1">
    <dataValidation type="list" allowBlank="1" showInputMessage="1" showErrorMessage="1" sqref="L2:L20" xr:uid="{8C42A789-1A2B-45FE-A2DF-67E08F9E4FAF}">
      <mc:AlternateContent xmlns:x12ac="http://schemas.microsoft.com/office/spreadsheetml/2011/1/ac" xmlns:mc="http://schemas.openxmlformats.org/markup-compatibility/2006">
        <mc:Choice Requires="x12ac">
          <x12ac:list>"OK,KO,Bloqué,Non joué"</x12ac:list>
        </mc:Choice>
        <mc:Fallback>
          <formula1>"OK,KO,Bloqué,Non joué"</formula1>
        </mc:Fallback>
      </mc:AlternateContent>
    </dataValidation>
  </dataValidations>
  <pageMargins left="0.7" right="0.7" top="0.75" bottom="0.75" header="0.3" footer="0.3"/>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4DAA9-B3DF-406A-A41F-2999017604C1}">
  <sheetPr>
    <pageSetUpPr fitToPage="1"/>
  </sheetPr>
  <dimension ref="A1:G11"/>
  <sheetViews>
    <sheetView workbookViewId="0"/>
  </sheetViews>
  <sheetFormatPr baseColWidth="10" defaultRowHeight="15" x14ac:dyDescent="0.25"/>
  <cols>
    <col min="1" max="1" width="22.7109375" customWidth="1"/>
    <col min="2" max="7" width="10.7109375" customWidth="1"/>
  </cols>
  <sheetData>
    <row r="1" spans="1:7" x14ac:dyDescent="0.25">
      <c r="A1" s="4" t="s">
        <v>18</v>
      </c>
      <c r="B1" s="4" t="s">
        <v>166</v>
      </c>
      <c r="C1" s="4" t="s">
        <v>167</v>
      </c>
      <c r="D1" s="4" t="s">
        <v>168</v>
      </c>
      <c r="E1" s="4" t="s">
        <v>169</v>
      </c>
      <c r="F1" s="4" t="s">
        <v>170</v>
      </c>
      <c r="G1" s="4" t="s">
        <v>171</v>
      </c>
    </row>
    <row r="2" spans="1:7" x14ac:dyDescent="0.25">
      <c r="A2" s="8" t="s">
        <v>31</v>
      </c>
      <c r="B2" s="8">
        <f>COUNTIF('Cas de recette'!$B$2:$B$20,A2)</f>
        <v>5</v>
      </c>
      <c r="C2" s="8">
        <f>COUNTIFS('Cas de recette'!$B$2:$B$20,A2,'Cas de recette'!$L$2:$L$20,"OK")</f>
        <v>0</v>
      </c>
      <c r="D2" s="8">
        <f>COUNTIFS('Cas de recette'!$B$2:$B$20,A2,'Cas de recette'!$L$2:$L$20,"KO")</f>
        <v>0</v>
      </c>
      <c r="E2" s="8">
        <f>COUNTIFS('Cas de recette'!$B$2:$B$20,A2,'Cas de recette'!$L$2:$L$20,"Bloqué")</f>
        <v>0</v>
      </c>
      <c r="F2" s="8">
        <f>B2-C2-D2-E2</f>
        <v>5</v>
      </c>
      <c r="G2" s="9">
        <f>IF(B2=0,0,C2/B2)</f>
        <v>0</v>
      </c>
    </row>
    <row r="3" spans="1:7" x14ac:dyDescent="0.25">
      <c r="A3" s="8" t="s">
        <v>40</v>
      </c>
      <c r="B3" s="8">
        <f>COUNTIF('Cas de recette'!$B$2:$B$20,A3)</f>
        <v>1</v>
      </c>
      <c r="C3" s="8">
        <f>COUNTIFS('Cas de recette'!$B$2:$B$20,A3,'Cas de recette'!$L$2:$L$20,"OK")</f>
        <v>0</v>
      </c>
      <c r="D3" s="8">
        <f>COUNTIFS('Cas de recette'!$B$2:$B$20,A3,'Cas de recette'!$L$2:$L$20,"KO")</f>
        <v>0</v>
      </c>
      <c r="E3" s="8">
        <f>COUNTIFS('Cas de recette'!$B$2:$B$20,A3,'Cas de recette'!$L$2:$L$20,"Bloqué")</f>
        <v>0</v>
      </c>
      <c r="F3" s="8">
        <f>B3-C3-D3-E3</f>
        <v>1</v>
      </c>
      <c r="G3" s="9">
        <f>IF(B3=0,0,C3/B3)</f>
        <v>0</v>
      </c>
    </row>
    <row r="4" spans="1:7" x14ac:dyDescent="0.25">
      <c r="A4" s="8" t="s">
        <v>47</v>
      </c>
      <c r="B4" s="8">
        <f>COUNTIF('Cas de recette'!$B$2:$B$20,A4)</f>
        <v>2</v>
      </c>
      <c r="C4" s="8">
        <f>COUNTIFS('Cas de recette'!$B$2:$B$20,A4,'Cas de recette'!$L$2:$L$20,"OK")</f>
        <v>0</v>
      </c>
      <c r="D4" s="8">
        <f>COUNTIFS('Cas de recette'!$B$2:$B$20,A4,'Cas de recette'!$L$2:$L$20,"KO")</f>
        <v>0</v>
      </c>
      <c r="E4" s="8">
        <f>COUNTIFS('Cas de recette'!$B$2:$B$20,A4,'Cas de recette'!$L$2:$L$20,"Bloqué")</f>
        <v>0</v>
      </c>
      <c r="F4" s="8">
        <f>B4-C4-D4-E4</f>
        <v>2</v>
      </c>
      <c r="G4" s="9">
        <f>IF(B4=0,0,C4/B4)</f>
        <v>0</v>
      </c>
    </row>
    <row r="5" spans="1:7" x14ac:dyDescent="0.25">
      <c r="A5" s="8" t="s">
        <v>55</v>
      </c>
      <c r="B5" s="8">
        <f>COUNTIF('Cas de recette'!$B$2:$B$20,A5)</f>
        <v>4</v>
      </c>
      <c r="C5" s="8">
        <f>COUNTIFS('Cas de recette'!$B$2:$B$20,A5,'Cas de recette'!$L$2:$L$20,"OK")</f>
        <v>0</v>
      </c>
      <c r="D5" s="8">
        <f>COUNTIFS('Cas de recette'!$B$2:$B$20,A5,'Cas de recette'!$L$2:$L$20,"KO")</f>
        <v>0</v>
      </c>
      <c r="E5" s="8">
        <f>COUNTIFS('Cas de recette'!$B$2:$B$20,A5,'Cas de recette'!$L$2:$L$20,"Bloqué")</f>
        <v>0</v>
      </c>
      <c r="F5" s="8">
        <f>B5-C5-D5-E5</f>
        <v>4</v>
      </c>
      <c r="G5" s="9">
        <f>IF(B5=0,0,C5/B5)</f>
        <v>0</v>
      </c>
    </row>
    <row r="6" spans="1:7" x14ac:dyDescent="0.25">
      <c r="A6" s="8" t="s">
        <v>82</v>
      </c>
      <c r="B6" s="8">
        <f>COUNTIF('Cas de recette'!$B$2:$B$20,A6)</f>
        <v>2</v>
      </c>
      <c r="C6" s="8">
        <f>COUNTIFS('Cas de recette'!$B$2:$B$20,A6,'Cas de recette'!$L$2:$L$20,"OK")</f>
        <v>0</v>
      </c>
      <c r="D6" s="8">
        <f>COUNTIFS('Cas de recette'!$B$2:$B$20,A6,'Cas de recette'!$L$2:$L$20,"KO")</f>
        <v>0</v>
      </c>
      <c r="E6" s="8">
        <f>COUNTIFS('Cas de recette'!$B$2:$B$20,A6,'Cas de recette'!$L$2:$L$20,"Bloqué")</f>
        <v>0</v>
      </c>
      <c r="F6" s="8">
        <f>B6-C6-D6-E6</f>
        <v>2</v>
      </c>
      <c r="G6" s="9">
        <f>IF(B6=0,0,C6/B6)</f>
        <v>0</v>
      </c>
    </row>
    <row r="7" spans="1:7" x14ac:dyDescent="0.25">
      <c r="A7" s="8" t="s">
        <v>94</v>
      </c>
      <c r="B7" s="8">
        <f>COUNTIF('Cas de recette'!$B$2:$B$20,A7)</f>
        <v>1</v>
      </c>
      <c r="C7" s="8">
        <f>COUNTIFS('Cas de recette'!$B$2:$B$20,A7,'Cas de recette'!$L$2:$L$20,"OK")</f>
        <v>0</v>
      </c>
      <c r="D7" s="8">
        <f>COUNTIFS('Cas de recette'!$B$2:$B$20,A7,'Cas de recette'!$L$2:$L$20,"KO")</f>
        <v>0</v>
      </c>
      <c r="E7" s="8">
        <f>COUNTIFS('Cas de recette'!$B$2:$B$20,A7,'Cas de recette'!$L$2:$L$20,"Bloqué")</f>
        <v>0</v>
      </c>
      <c r="F7" s="8">
        <f>B7-C7-D7-E7</f>
        <v>1</v>
      </c>
      <c r="G7" s="9">
        <f>IF(B7=0,0,C7/B7)</f>
        <v>0</v>
      </c>
    </row>
    <row r="8" spans="1:7" x14ac:dyDescent="0.25">
      <c r="A8" s="8" t="s">
        <v>103</v>
      </c>
      <c r="B8" s="8">
        <f>COUNTIF('Cas de recette'!$B$2:$B$20,A8)</f>
        <v>1</v>
      </c>
      <c r="C8" s="8">
        <f>COUNTIFS('Cas de recette'!$B$2:$B$20,A8,'Cas de recette'!$L$2:$L$20,"OK")</f>
        <v>0</v>
      </c>
      <c r="D8" s="8">
        <f>COUNTIFS('Cas de recette'!$B$2:$B$20,A8,'Cas de recette'!$L$2:$L$20,"KO")</f>
        <v>0</v>
      </c>
      <c r="E8" s="8">
        <f>COUNTIFS('Cas de recette'!$B$2:$B$20,A8,'Cas de recette'!$L$2:$L$20,"Bloqué")</f>
        <v>0</v>
      </c>
      <c r="F8" s="8">
        <f>B8-C8-D8-E8</f>
        <v>1</v>
      </c>
      <c r="G8" s="9">
        <f>IF(B8=0,0,C8/B8)</f>
        <v>0</v>
      </c>
    </row>
    <row r="9" spans="1:7" x14ac:dyDescent="0.25">
      <c r="A9" s="8" t="s">
        <v>117</v>
      </c>
      <c r="B9" s="8">
        <f>COUNTIF('Cas de recette'!$B$2:$B$20,A9)</f>
        <v>2</v>
      </c>
      <c r="C9" s="8">
        <f>COUNTIFS('Cas de recette'!$B$2:$B$20,A9,'Cas de recette'!$L$2:$L$20,"OK")</f>
        <v>0</v>
      </c>
      <c r="D9" s="8">
        <f>COUNTIFS('Cas de recette'!$B$2:$B$20,A9,'Cas de recette'!$L$2:$L$20,"KO")</f>
        <v>0</v>
      </c>
      <c r="E9" s="8">
        <f>COUNTIFS('Cas de recette'!$B$2:$B$20,A9,'Cas de recette'!$L$2:$L$20,"Bloqué")</f>
        <v>0</v>
      </c>
      <c r="F9" s="8">
        <f>B9-C9-D9-E9</f>
        <v>2</v>
      </c>
      <c r="G9" s="9">
        <f>IF(B9=0,0,C9/B9)</f>
        <v>0</v>
      </c>
    </row>
    <row r="10" spans="1:7" x14ac:dyDescent="0.25">
      <c r="A10" s="8" t="s">
        <v>139</v>
      </c>
      <c r="B10" s="8">
        <f>COUNTIF('Cas de recette'!$B$2:$B$20,A10)</f>
        <v>1</v>
      </c>
      <c r="C10" s="8">
        <f>COUNTIFS('Cas de recette'!$B$2:$B$20,A10,'Cas de recette'!$L$2:$L$20,"OK")</f>
        <v>0</v>
      </c>
      <c r="D10" s="8">
        <f>COUNTIFS('Cas de recette'!$B$2:$B$20,A10,'Cas de recette'!$L$2:$L$20,"KO")</f>
        <v>0</v>
      </c>
      <c r="E10" s="8">
        <f>COUNTIFS('Cas de recette'!$B$2:$B$20,A10,'Cas de recette'!$L$2:$L$20,"Bloqué")</f>
        <v>0</v>
      </c>
      <c r="F10" s="8">
        <f>B10-C10-D10-E10</f>
        <v>1</v>
      </c>
      <c r="G10" s="9">
        <f>IF(B10=0,0,C10/B10)</f>
        <v>0</v>
      </c>
    </row>
    <row r="11" spans="1:7" x14ac:dyDescent="0.25">
      <c r="A11" s="10" t="s">
        <v>172</v>
      </c>
      <c r="B11" s="10">
        <f>SUM(B2:B10)</f>
        <v>19</v>
      </c>
      <c r="C11" s="10">
        <f>SUM(C2:C10)</f>
        <v>0</v>
      </c>
      <c r="D11" s="10">
        <f>SUM(D2:D10)</f>
        <v>0</v>
      </c>
      <c r="E11" s="10">
        <f>SUM(E2:E10)</f>
        <v>0</v>
      </c>
      <c r="F11" s="10">
        <f>SUM(F2:F10)</f>
        <v>19</v>
      </c>
      <c r="G11" s="11">
        <f>IF(B11=0,0,C11/B11)</f>
        <v>0</v>
      </c>
    </row>
  </sheetData>
  <pageMargins left="0.7" right="0.7" top="0.75" bottom="0.75" header="0.3" footer="0.3"/>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4B49-1F65-4754-9955-0C1A4A1C28A2}">
  <sheetPr>
    <pageSetUpPr fitToPage="1"/>
  </sheetPr>
  <dimension ref="A1:F8"/>
  <sheetViews>
    <sheetView workbookViewId="0"/>
  </sheetViews>
  <sheetFormatPr baseColWidth="10" defaultRowHeight="15" x14ac:dyDescent="0.25"/>
  <cols>
    <col min="1" max="1" width="26.7109375" customWidth="1"/>
    <col min="2" max="2" width="16.7109375" customWidth="1"/>
    <col min="3" max="3" width="70.7109375" customWidth="1"/>
    <col min="4" max="4" width="45.7109375" customWidth="1"/>
    <col min="5" max="5" width="12.7109375" customWidth="1"/>
    <col min="6" max="6" width="11.7109375" customWidth="1"/>
  </cols>
  <sheetData>
    <row r="1" spans="1:6" ht="30" x14ac:dyDescent="0.25">
      <c r="A1" s="4" t="s">
        <v>173</v>
      </c>
      <c r="B1" s="4" t="s">
        <v>166</v>
      </c>
      <c r="C1" s="4" t="s">
        <v>174</v>
      </c>
      <c r="D1" s="4" t="s">
        <v>175</v>
      </c>
      <c r="E1" s="4" t="s">
        <v>176</v>
      </c>
      <c r="F1" s="4" t="s">
        <v>29</v>
      </c>
    </row>
    <row r="2" spans="1:6" ht="240" x14ac:dyDescent="0.25">
      <c r="A2" s="5" t="s">
        <v>177</v>
      </c>
      <c r="B2" s="5" t="s">
        <v>178</v>
      </c>
      <c r="C2" s="5" t="s">
        <v>179</v>
      </c>
      <c r="D2" s="6"/>
      <c r="E2" s="6"/>
      <c r="F2" s="6"/>
    </row>
    <row r="3" spans="1:6" ht="210" x14ac:dyDescent="0.25">
      <c r="A3" s="5" t="s">
        <v>180</v>
      </c>
      <c r="B3" s="5" t="s">
        <v>118</v>
      </c>
      <c r="C3" s="5" t="s">
        <v>181</v>
      </c>
      <c r="D3" s="6"/>
      <c r="E3" s="6"/>
      <c r="F3" s="6"/>
    </row>
    <row r="4" spans="1:6" ht="135" x14ac:dyDescent="0.25">
      <c r="A4" s="5" t="s">
        <v>182</v>
      </c>
      <c r="B4" s="5" t="s">
        <v>132</v>
      </c>
      <c r="C4" s="5" t="s">
        <v>183</v>
      </c>
      <c r="D4" s="6"/>
      <c r="E4" s="6"/>
      <c r="F4" s="6"/>
    </row>
    <row r="5" spans="1:6" ht="150" x14ac:dyDescent="0.25">
      <c r="A5" s="5" t="s">
        <v>184</v>
      </c>
      <c r="B5" s="5" t="s">
        <v>32</v>
      </c>
      <c r="C5" s="5" t="s">
        <v>185</v>
      </c>
      <c r="D5" s="6"/>
      <c r="E5" s="6"/>
      <c r="F5" s="6"/>
    </row>
    <row r="6" spans="1:6" ht="240" x14ac:dyDescent="0.25">
      <c r="A6" s="5" t="s">
        <v>186</v>
      </c>
      <c r="B6" s="5" t="s">
        <v>63</v>
      </c>
      <c r="C6" s="5" t="s">
        <v>187</v>
      </c>
      <c r="D6" s="6"/>
      <c r="E6" s="6"/>
      <c r="F6" s="6"/>
    </row>
    <row r="7" spans="1:6" ht="150" x14ac:dyDescent="0.25">
      <c r="A7" s="5" t="s">
        <v>188</v>
      </c>
      <c r="B7" s="5" t="s">
        <v>75</v>
      </c>
      <c r="C7" s="5" t="s">
        <v>189</v>
      </c>
      <c r="D7" s="6"/>
      <c r="E7" s="6"/>
      <c r="F7" s="6"/>
    </row>
    <row r="8" spans="1:6" ht="135" x14ac:dyDescent="0.25">
      <c r="A8" s="5" t="s">
        <v>190</v>
      </c>
      <c r="B8" s="5" t="s">
        <v>145</v>
      </c>
      <c r="C8" s="5" t="s">
        <v>191</v>
      </c>
      <c r="D8" s="6"/>
      <c r="E8" s="6"/>
      <c r="F8" s="6"/>
    </row>
  </sheetData>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Cas de recette</vt:lpstr>
      <vt:lpstr>Synthèse</vt:lpstr>
      <vt:lpstr>Questions et décisions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FRANCK HERMANN N'ZI</dc:creator>
  <cp:lastModifiedBy>FRANCK HERMANN N'ZI</cp:lastModifiedBy>
  <dcterms:created xsi:type="dcterms:W3CDTF">2026-10-28T23:06:12Z</dcterms:created>
  <dcterms:modified xsi:type="dcterms:W3CDTF">2026-10-28T23:06:14Z</dcterms:modified>
</cp:coreProperties>
</file>