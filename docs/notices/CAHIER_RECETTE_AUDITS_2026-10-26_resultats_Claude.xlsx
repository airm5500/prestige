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e d'emploi" r:id="rId3" sheetId="1"/>
    <sheet name="Cas de recette" r:id="rId4" sheetId="2"/>
    <sheet name="Synthèse" r:id="rId5" sheetId="3"/>
    <sheet name="Décisions" r:id="rId6" sheetId="4"/>
  </sheets>
  <definedNames>
    <definedName name="_xlnm._FilterDatabase" localSheetId="1" hidden="true">'Cas de recette'!$A$1:$O$63</definedName>
    <definedName name="_xlnm.Print_Titles" localSheetId="1">'Cas de recette'!$1:$1</definedName>
  </definedNames>
  <calcPr fullCalcOnLoad="true"/>
</workbook>
</file>

<file path=xl/sharedStrings.xml><?xml version="1.0" encoding="utf-8"?>
<sst xmlns="http://schemas.openxmlformats.org/spreadsheetml/2006/main" count="1360" uniqueCount="667">
  <si>
    <t>Cahier de recette : corrections des audits de code</t>
  </si>
  <si>
    <t>Version testée</t>
  </si>
  <si>
    <t>Branche PRES-/audits-code-dffa0a, commit 9b02b3c7 (26/10/2026). WAR : target/prestige.war construit à partir de ce commit. Il ne contient pas les commits récents de la branche principale (droits, horloge, bornes, téléphone de la vente).</t>
  </si>
  <si>
    <t>Référence</t>
  </si>
  <si>
    <t>docs/notices/CONFIRMATION_AUDITS_CODE_2026-10-25.md : fiches par constat (§3), corrections (§9), règle de remise de la vente assurance (§9.5).</t>
  </si>
  <si>
    <t>Base</t>
  </si>
  <si>
    <t>Une copie de travail uniquement, jamais une base de production. Les données d'essai sont à retirer après la recette.</t>
  </si>
  <si>
    <t>Préparation</t>
  </si>
  <si>
    <t>Caisse ouverte pour l'utilisateur de test. Pour les remises : une remise de 10 % avec sa grille VO et VNO, un produit remisable et un produit non remisable (code remise vide). Pour l'assurance : un organisme à 80 % et un à 95 %, un client assuré. Pour les différés : un client et une vente comptant de 2 boîtes en différé. Pour le carnet : un carnet dépôt avec un solde de 5 000 F.</t>
  </si>
  <si>
    <t>Deux postes</t>
  </si>
  <si>
    <t>Plusieurs cas demandent deux postes ou deux onglets ouverts en même temps (VC-01, VC-02, VC-04, VC-09, DIF-01, F1, F2, F3).</t>
  </si>
  <si>
    <t>Appel direct</t>
  </si>
  <si>
    <t>Quelques cas ne sont pas atteignables par l'écran (l'écran les bloque) : ils se jouent par un appel REST, comme l'appli mobile ou un écran resté ouvert. Le test automatique cité les joue.</t>
  </si>
  <si>
    <t>Colonnes à remplir</t>
  </si>
  <si>
    <t>Onglet « Cas de recette », colonnes en jaune : Résultat obtenu, Statut, Testeur, Date, Commentaire. Le statut se choisit dans la liste : OK, KO, Bloqué, Non joué.</t>
  </si>
  <si>
    <t>Synthèse</t>
  </si>
  <si>
    <t>L'onglet « Synthèse » se calcule seul à partir des statuts.</t>
  </si>
  <si>
    <t>Tests automatiques</t>
  </si>
  <si>
    <t>Colonne « Test automatique » : script Playwright du dépôt (src/test/e2e/...), lancé seul, un à la fois : node src/test/e2e/audits/repro-vente-comptant.js. Une ligne FAIL = défaut présent.</t>
  </si>
  <si>
    <t>Restent en échec</t>
  </si>
  <si>
    <t>VC-12 et VC-16 (cas « hier ») : décision métier en attente sur la date des écritures. Voir l'onglet « Décisions ».</t>
  </si>
  <si>
    <t>Exemple de saisie</t>
  </si>
  <si>
    <t>Résultat obtenu</t>
  </si>
  <si>
    <t>Refus « vente non modifiable » ; vente 6 950 F, stock 98</t>
  </si>
  <si>
    <t>Statut</t>
  </si>
  <si>
    <t>OK</t>
  </si>
  <si>
    <t>Testeur</t>
  </si>
  <si>
    <t>Initiales du testeur</t>
  </si>
  <si>
    <t>Date</t>
  </si>
  <si>
    <t>27/10/2026</t>
  </si>
  <si>
    <t>Commentaire</t>
  </si>
  <si>
    <t>Joué sur deux onglets du même poste</t>
  </si>
  <si>
    <t>N°</t>
  </si>
  <si>
    <t>Module</t>
  </si>
  <si>
    <t>Constat</t>
  </si>
  <si>
    <t>Gravité</t>
  </si>
  <si>
    <t>Titre</t>
  </si>
  <si>
    <t>Données / préconditions</t>
  </si>
  <si>
    <t>Procédure</t>
  </si>
  <si>
    <t>Résultat attendu (après correction)</t>
  </si>
  <si>
    <t>Constaté avant correction</t>
  </si>
  <si>
    <t>Test automatique</t>
  </si>
  <si>
    <t>1</t>
  </si>
  <si>
    <t>Vente comptant</t>
  </si>
  <si>
    <t>VC-01</t>
  </si>
  <si>
    <t>A</t>
  </si>
  <si>
    <t>Ligne d'une vente encaissée modifiable</t>
  </si>
  <si>
    <t>Produit à 3 475 F, stock 100. Vente comptant de 2 boîtes.</t>
  </si>
  <si>
    <t>1. Ouvrir la même prévente sur deux postes (ou deux onglets).
2. Poste B : encaisser la vente en espèces.
3. Poste A, resté ouvert : passer la quantité de la ligne à 5 dans la grille.</t>
  </si>
  <si>
    <t>La modification est refusée avec un message (vente non modifiable). La vente reste à 2 boîtes, 6 950 F ; stock 98.</t>
  </si>
  <si>
    <t>Modification acceptée : ligne à 5 boîtes, vente 17 375 F, stock 98, caisse 6 950 F.</t>
  </si>
  <si>
    <t>repro-vente-comptant.js (VC-01)</t>
  </si>
  <si>
    <t/>
  </si>
  <si>
    <t>Non joué</t>
  </si>
  <si>
    <t>2</t>
  </si>
  <si>
    <t>VC-02</t>
  </si>
  <si>
    <t>« Terminer la prévente » sur une vente encaissée</t>
  </si>
  <si>
    <t>Vente comptant d'une boîte, encaissée sur un autre poste.</t>
  </si>
  <si>
    <t>1. Poste A : ouvrir la prévente.
2. Poste B : encaisser cette vente.
3. Poste A : cliquer « Terminer la prévente ».</t>
  </si>
  <si>
    <t>Refus. La vente reste clôturée et dans la caisse du jour.</t>
  </si>
  <si>
    <t>Succès : la vente repassait « en cours » et sortait de la caisse du jour.</t>
  </si>
  <si>
    <t>repro-vente-comptant.js (VC-02)</t>
  </si>
  <si>
    <t>3</t>
  </si>
  <si>
    <t>VC-04</t>
  </si>
  <si>
    <t>Annulation pendant une modification</t>
  </si>
  <si>
    <t>Vente comptant d'une boîte à 3 475 F, encaissée.</t>
  </si>
  <si>
    <t>1. Poste A : Ventes terminées → Modifier (la copie s'ouvre).
2. Poste B : Ventes terminées → Annuler la même vente.
3. Poste A : valider la copie.</t>
  </si>
  <si>
    <t>L'annulation du poste B est refusée tant que la modification est ouverte. La copie se valide normalement ; une seule vente active ; stock et caisse justes.</t>
  </si>
  <si>
    <t>Tout accepté : l'origine annulée 3 fois, stock 97 → 97, caisse nette 0 F.</t>
  </si>
  <si>
    <t>repro-vente-comptant.js (VC-04)</t>
  </si>
  <si>
    <t>4</t>
  </si>
  <si>
    <t>VC-05</t>
  </si>
  <si>
    <t>TVA doublée avec une remise</t>
  </si>
  <si>
    <t>Remise de 10 % sur un produit TVA 18 % (par exemple 3 270 F).</t>
  </si>
  <si>
    <t>1. Vente comptant du produit.
2. Choisir la remise, puis « Net à payer ».
3. Encaisser.
4. Comparer la TVA de la vente (ticket Z, mouvement de caisse) à la somme des TVA des lignes.</t>
  </si>
  <si>
    <t>TVA de la vente = somme des TVA des lignes.</t>
  </si>
  <si>
    <t>TVA de la vente 998 pour 499 sur les lignes.</t>
  </si>
  <si>
    <t>repro-remise-caisse.js (VC-05)</t>
  </si>
  <si>
    <t>5</t>
  </si>
  <si>
    <t>VC-06</t>
  </si>
  <si>
    <t>Net demandé sans remise : remise conservée</t>
  </si>
  <si>
    <t>Vente comptant avec la remise de 10 % posée.</t>
  </si>
  <si>
    <t>1. Poser la remise.
2. Demander le net sans remise (cas de l'appli mobile).
3. Encaisser au plein tarif.</t>
  </si>
  <si>
    <t>La vente n'enregistre aucune remise (remise = 0).</t>
  </si>
  <si>
    <t>Encaissé au plein tarif, mais remise de 327 F enregistrée.</t>
  </si>
  <si>
    <t>repro-remise-caisse.js (VC-06)</t>
  </si>
  <si>
    <t>6</t>
  </si>
  <si>
    <t>VC-07</t>
  </si>
  <si>
    <t>Remise enregistrée différente de la remise encaissée</t>
  </si>
  <si>
    <t>Vente comptant avec la remise de 10 % (produit à 3 270 F).</t>
  </si>
  <si>
    <t>1. Poser la remise, Net à payer.
2. Noter la remise affichée et le net.
3. Encaisser, puis consulter la vente.</t>
  </si>
  <si>
    <t>Remise enregistrée = remise affichée ; prix − remise = net payé.</t>
  </si>
  <si>
    <t>Remise affichée 325, enregistrée 327 ; payé 2 945 pour prix − remise = 2 943.</t>
  </si>
  <si>
    <t>repro-remise-caisse.js (VC-05/VC-07)</t>
  </si>
  <si>
    <t>7</t>
  </si>
  <si>
    <t>VC-08</t>
  </si>
  <si>
    <t>D</t>
  </si>
  <si>
    <t>Client d'une vente encaissée remplacé</t>
  </si>
  <si>
    <t>Vente encaissée pour un client.</t>
  </si>
  <si>
    <t>Appel direct (appli mobile) : POST vente/update/client avec un identifiant de client inconnu.</t>
  </si>
  <si>
    <t>Vente encaissée : refus, client inchangé. Sur une vente en cours, un client inconnu laisse le client inchangé (réponse succès, pour l'appli mobile).</t>
  </si>
  <si>
    <t>Succès et client de la vente vidé (NULL).</t>
  </si>
  <si>
    <t>repro-vente-comptant.js (VC-08)</t>
  </si>
  <si>
    <t>8</t>
  </si>
  <si>
    <t>VC-09</t>
  </si>
  <si>
    <t>Stock négatif à la validation</t>
  </si>
  <si>
    <t>Paramètre FORCER_STOCK_VENTE = 0, produit avec stock 1.</t>
  </si>
  <si>
    <t>1. Poste A et poste B saisissent chacun 1 boîte du produit.
2. Valider sur A, puis sur B.</t>
  </si>
  <si>
    <t>La seconde validation est refusée (stock insuffisant). Stock final 0.</t>
  </si>
  <si>
    <t>Les deux validations passent, stock −1.</t>
  </si>
  <si>
    <t>repro-vente-comptant.js (VC-09)</t>
  </si>
  <si>
    <t>9</t>
  </si>
  <si>
    <t>VC-11</t>
  </si>
  <si>
    <t>Annulation : stock rendu au mauvais lot</t>
  </si>
  <si>
    <t>Lot A (péremption proche) épuisé, lot B (péremption lointaine) à 5. Vente de 2 boîtes, sortie du lot B.</t>
  </si>
  <si>
    <t>1. Annuler la vente.
2. Consulter les lots du produit.</t>
  </si>
  <si>
    <t>Les 2 boîtes reviennent au lot B : A = 0, B = 5.</t>
  </si>
  <si>
    <t>A = 2, B = 3.</t>
  </si>
  <si>
    <t>repro-vente-comptant.js (VC-11)</t>
  </si>
  <si>
    <t>10</t>
  </si>
  <si>
    <t>VC-12</t>
  </si>
  <si>
    <t>Modification d'une vente de la veille : dates mélangées</t>
  </si>
  <si>
    <t>Vente encaissée datée de la veille.</t>
  </si>
  <si>
    <t>1. Ventes terminées → Modifier la vente sans rien changer.
2. Valider.
3. Comparer les dates de la transaction, de la contre-passation, de la recette et du mouvement de stock.</t>
  </si>
  <si>
    <t>DÉCISION EN ATTENTE (date de l'opération ou de la saisie) : non corrigé. À jouer pour constat seulement.</t>
  </si>
  <si>
    <t>Transaction et contre-passation datées de la veille ; recette et stock du jour.</t>
  </si>
  <si>
    <t>repro-vente-comptant.js (VC-12) : reste en échec tant que la décision n'est pas prise</t>
  </si>
  <si>
    <t>11</t>
  </si>
  <si>
    <t>VC-14</t>
  </si>
  <si>
    <t>Montant payé du poste pris tel quel</t>
  </si>
  <si>
    <t>Vente comptant de 6 950 F.</t>
  </si>
  <si>
    <t>Appel direct : clôture avec « montant payé = 1 » (l'écran bloque ce cas).</t>
  </si>
  <si>
    <t>Clôture refusée : les règlements ne couvrent pas le net (tolérance 5 F).</t>
  </si>
  <si>
    <t>Acceptée : transaction et recette à 1 F.</t>
  </si>
  <si>
    <t>repro-vente-comptant.js (VC-14)</t>
  </si>
  <si>
    <t>12</t>
  </si>
  <si>
    <t>Caisse</t>
  </si>
  <si>
    <t>VC-16</t>
  </si>
  <si>
    <t>Mouvement de caisse à une autre date</t>
  </si>
  <si>
    <t>Caisse ouverte.</t>
  </si>
  <si>
    <t>1. Mouvement de caisse → entrée de 1 000 F datée de demain.
2. Puis une entrée de 1 000 F datée d'hier.</t>
  </si>
  <si>
    <t>Date de demain refusée. Date d'hier : DÉCISION EN ATTENTE (aujourd'hui, mouvement et règlement à hier, transaction au jour).</t>
  </si>
  <si>
    <t>Date future acceptée ; dates différentes entre mouvement, règlement et transaction.</t>
  </si>
  <si>
    <t>repro-remise-caisse.js (VC-16) : le cas « hier » reste en échec tant que la décision n'est pas prise</t>
  </si>
  <si>
    <t>13</t>
  </si>
  <si>
    <t>N1</t>
  </si>
  <si>
    <t>Annulation échouée mais à moitié enregistrée</t>
  </si>
  <si>
    <t>Vente encaissée d'un produit dont la ligne de stock manque dans l'emplacement de la vente.</t>
  </si>
  <si>
    <t>Ventes terminées → Annuler la vente.</t>
  </si>
  <si>
    <t>Refus propre avec un message ; la vente n'est pas annulée, aucune copie d'annulation ni contre-passation.</t>
  </si>
  <si>
    <t>Message d'erreur, mais vente annulée avec copie d'annulation et contre-passation.</t>
  </si>
  <si>
    <t>repro-vente-comptant.js (N1)</t>
  </si>
  <si>
    <t>14</t>
  </si>
  <si>
    <t>N2</t>
  </si>
  <si>
    <t>Modification d'une vente annulée</t>
  </si>
  <si>
    <t>Vente encaissée puis annulée.</t>
  </si>
  <si>
    <t>Appel direct (bouton masqué à l'écran) : PUT vente/modifier-vente-terme/{id}.</t>
  </si>
  <si>
    <t>Refus : une vente annulée, non clôturée ou une annulation ne se modifie pas.</t>
  </si>
  <si>
    <t>Succès ; la « copie » renvoyée était l'enregistrement d'annulation (−3 475 F).</t>
  </si>
  <si>
    <t>repro-vente-comptant.js (N2)</t>
  </si>
  <si>
    <t>15</t>
  </si>
  <si>
    <t>Vente assurance</t>
  </si>
  <si>
    <t>CR-01</t>
  </si>
  <si>
    <t>Annulation : l'encours augmente</t>
  </si>
  <si>
    <t>Organisme à 80 %, vente assurance encaissée (part organisme 564).</t>
  </si>
  <si>
    <t>1. Noter l'encours de l'organisme et du client (564).
2. Ventes terminées → Annuler.
3. Relire les encours.</t>
  </si>
  <si>
    <t>Encours revenus à 0.</t>
  </si>
  <si>
    <t>Encours 1 128.</t>
  </si>
  <si>
    <t>repro-vente-assurance.js (CR-01)</t>
  </si>
  <si>
    <t>16</t>
  </si>
  <si>
    <t>CR-02</t>
  </si>
  <si>
    <t>Modification : ancienne part comptée deux fois</t>
  </si>
  <si>
    <t>Même vente assurance (part organisme 564).</t>
  </si>
  <si>
    <t>1. Modifier la vente sans rien changer.
2. Valider.
3. Relire les encours.</t>
  </si>
  <si>
    <t>Encours = 564 (une seule fois la part).</t>
  </si>
  <si>
    <t>Encours 1 692.</t>
  </si>
  <si>
    <t>repro-vente-assurance.js (CR-02)</t>
  </si>
  <si>
    <t>17</t>
  </si>
  <si>
    <t>CR-03</t>
  </si>
  <si>
    <t>Clôture refusée sans retour arrière</t>
  </si>
  <si>
    <t>Client à deux organismes (50 % et 30 %) ; un numéro de bon déjà utilisé sur le second.</t>
  </si>
  <si>
    <t>1. Nouvelle vente avec ce bon → Valider (refus attendu).
2. Revalider.
3. Relire l'encours du premier organisme et l'état des lignes.</t>
  </si>
  <si>
    <t>Refus « numéro déjà utilisé » sans aucune écriture : encours inchangé, aucune ligne close, vente toujours en cours.</t>
  </si>
  <si>
    <t>Refus, mais encours 353 → 706 puis 1 059 ; ligne close sur une vente en cours.</t>
  </si>
  <si>
    <t>repro-vente-assurance.js (CR-03)</t>
  </si>
  <si>
    <t>18</t>
  </si>
  <si>
    <t>CR-05</t>
  </si>
  <si>
    <t>Remise déduite deux fois (transaction)</t>
  </si>
  <si>
    <t>Organisme à 80 %, remise de 10 %, produit à 2 010 F.</t>
  </si>
  <si>
    <t>1. Vente assurance avec la remise, encaissée en espèces.
2. Consulter la transaction de caisse.</t>
  </si>
  <si>
    <t>Montant réglé = montant payé par le client (net arrondi de la part client).</t>
  </si>
  <si>
    <t>Réglé 0 pour 200 encaissés.</t>
  </si>
  <si>
    <t>repro-vo-remise.js (CR-05)</t>
  </si>
  <si>
    <t>19</t>
  </si>
  <si>
    <t>N3</t>
  </si>
  <si>
    <t>Remise déduite deux fois (dette différée)</t>
  </si>
  <si>
    <t>Même vente, en différé, 0 F reçu.</t>
  </si>
  <si>
    <t>1. Vente assurance avec remise, mode différé, 0 F reçu.
2. Consulter la dette du client.</t>
  </si>
  <si>
    <t>Dette du client = part client de la vente.</t>
  </si>
  <si>
    <t>Dette 0 F.</t>
  </si>
  <si>
    <t>repro-vo-remise.js (N3)</t>
  </si>
  <si>
    <t>20</t>
  </si>
  <si>
    <t>CR-06</t>
  </si>
  <si>
    <t>Remise supérieure à la part client</t>
  </si>
  <si>
    <t>Organisme à 95 %, remise de 10 %, produit à 2 010 F.</t>
  </si>
  <si>
    <t>1. Vente assurance avec la remise, encaissée.
2. Comparer part organisme + part client et prix − remise.</t>
  </si>
  <si>
    <t>Part organisme + part client = prix − remise (règle du 26/10 : remise sur la part client).</t>
  </si>
  <si>
    <t>Organisme 1 909 + client 0 = 1 909 pour un net de 1 809 : 100 F de trop facturés à l'organisme.</t>
  </si>
  <si>
    <t>repro-vo-remise.js (CR-06)</t>
  </si>
  <si>
    <t>21</t>
  </si>
  <si>
    <t>CR-07</t>
  </si>
  <si>
    <t>Part et taux du poste enregistrés</t>
  </si>
  <si>
    <t>Organisme à 80 %.</t>
  </si>
  <si>
    <t>Appel direct : clôture renvoyant une part de 1 F et un taux de 1 %.</t>
  </si>
  <si>
    <t>La ligne garde la part et le taux calculés par le serveur (80 %).</t>
  </si>
  <si>
    <t>Ligne enregistrée à 1 F / 1 %.</t>
  </si>
  <si>
    <t>repro-vente-assurance.js (CR-07)</t>
  </si>
  <si>
    <t>22</t>
  </si>
  <si>
    <t>CR-09</t>
  </si>
  <si>
    <t>Taux hors 0-100</t>
  </si>
  <si>
    <t>Vente assurance en cours.</t>
  </si>
  <si>
    <t>Ajouter une complémentaire et saisir 250 %.</t>
  </si>
  <si>
    <t>Refus : le taux doit être compris entre 0 et 100.</t>
  </si>
  <si>
    <t>250 % accepté.</t>
  </si>
  <si>
    <t>repro-vente-assurance.js (CR-09)</t>
  </si>
  <si>
    <t>23</t>
  </si>
  <si>
    <t>CR-10</t>
  </si>
  <si>
    <t>Retrait d'un tiers payant sur une vente encaissée</t>
  </si>
  <si>
    <t>Vente assurance encaissée.</t>
  </si>
  <si>
    <t>Appel direct : GET vente/removetp/{lien}/{vente}.</t>
  </si>
  <si>
    <t>Refus ; la ligne tiers payant reste, la vente reste facturable.</t>
  </si>
  <si>
    <t>Ligne supprimée : vente sortie de la facturation.</t>
  </si>
  <si>
    <t>repro-vente-assurance.js (CR-10)</t>
  </si>
  <si>
    <t>24</t>
  </si>
  <si>
    <t>CA-03</t>
  </si>
  <si>
    <t>Ventes « exclues » fantômes</t>
  </si>
  <si>
    <t>Un organisme exclu, puis un organisme ordinaire.</t>
  </si>
  <si>
    <t>1. Une vente sur l'organisme exclu.
2. Puis 8 ventes ordinaires.
3. Contrôler les ventes enregistrées comme exclues.</t>
  </si>
  <si>
    <t>Seule la vente de l'organisme exclu est enregistrée comme exclue.</t>
  </si>
  <si>
    <t>Les 8 ventes ordinaires enregistrées comme exclues ; après suppression de l'organisme exclu, toutes les clôtures assurance échouaient.</t>
  </si>
  <si>
    <t>repro-vente-assurance.js (CA-03)</t>
  </si>
  <si>
    <t>25</t>
  </si>
  <si>
    <t>CA-09</t>
  </si>
  <si>
    <t>Changement d'organisme sans suivi des encours</t>
  </si>
  <si>
    <t>Vente assurance encaissée sur l'organisme A (part 564).</t>
  </si>
  <si>
    <t>1. Ventes terminées → Modifier client / tiers payant.
2. Remplacer A par B, valider.
3. Relire les encours de A et B.</t>
  </si>
  <si>
    <t>Encours de A : 564 → 0 ; encours de B : 0 → 564.</t>
  </si>
  <si>
    <t>A reste à 564, B reste à 0.</t>
  </si>
  <si>
    <t>repro-vente-assurance.js (CA-09)</t>
  </si>
  <si>
    <t>26</t>
  </si>
  <si>
    <t>N5</t>
  </si>
  <si>
    <t>Changement d'organisme d'une vente facturée</t>
  </si>
  <si>
    <t>Vente assurance déjà facturée (ligne « charged »).</t>
  </si>
  <si>
    <t>Ventes terminées → Modifier client / tiers payant → remplacer l'organisme, valider.</t>
  </si>
  <si>
    <t>Refus : une vente déjà facturée ne change pas d'organisme.</t>
  </si>
  <si>
    <t>Ligne facturée supprimée et remplacée par une ligne refacturable.</t>
  </si>
  <si>
    <t>repro-vente-assurance.js (N5)</t>
  </si>
  <si>
    <t>27</t>
  </si>
  <si>
    <t>RÈGLE-1</t>
  </si>
  <si>
    <t>Remise sur la part client : produit remisable seul</t>
  </si>
  <si>
    <t>Organisme à 80 %, remise de 10 %, produit remisable à 2 010 F.</t>
  </si>
  <si>
    <t>1. Vente assurance avec la remise.
2. Net à payer, encaisser.
3. Consulter la vente et sa ligne.</t>
  </si>
  <si>
    <t>Part client de la ligne 402 → remise 40 F (ligne et vente) ; part client 362 ; net payé 360.</t>
  </si>
  <si>
    <t>Remise 201 F (10 % du prix), part client 201.</t>
  </si>
  <si>
    <t>repro-vo-remise.js (Règle 1)</t>
  </si>
  <si>
    <t>28</t>
  </si>
  <si>
    <t>RÈGLE-2</t>
  </si>
  <si>
    <t>Remise sur la part client : remisable + non remisable</t>
  </si>
  <si>
    <t>Organisme à 80 %, remise de 10 %. Produit remisable à 2 010 F et produit non remisable (code remise vide) à 2 755 F.</t>
  </si>
  <si>
    <t>1. Vente assurance des deux produits avec la remise.
2. Encaisser.
3. Consulter les remises par ligne.</t>
  </si>
  <si>
    <t>Remise 40 F sur la ligne remisable, 0 sur l'autre ; remise de la vente 40 ; part client = prix − parts organisme − remise (913).</t>
  </si>
  <si>
    <t>Remise calculée sur le prix entier des produits remisables.</t>
  </si>
  <si>
    <t>repro-vo-remise.js (Règle 2)</t>
  </si>
  <si>
    <t>29</t>
  </si>
  <si>
    <t>RÈGLE-3</t>
  </si>
  <si>
    <t>Remise sur la part client : avec plafond</t>
  </si>
  <si>
    <t>Même vente, lien client-organisme avec un plafond par vente de 1 000 F.</t>
  </si>
  <si>
    <t>1. Vente assurance des deux produits avec la remise.
2. Encaisser.
3. Consulter la part organisme et les remises.</t>
  </si>
  <si>
    <t>Part organisme = 1 000, répartie au prorata des lignes ; remise 158 sur la ligne remisable (10 % de sa part client 1 588), 0 sur l'autre ; part client 3 607.</t>
  </si>
  <si>
    <t>Remise calculée sur le prix entier ; le plafond n'entrait pas dans la base de la remise.</t>
  </si>
  <si>
    <t>repro-vo-remise.js (Règle 3)</t>
  </si>
  <si>
    <t>30</t>
  </si>
  <si>
    <t>Carnet</t>
  </si>
  <si>
    <t>CA-06</t>
  </si>
  <si>
    <t>Règlement carnet dépôt négatif</t>
  </si>
  <si>
    <t>Carnet dépôt avec un solde de 5 000 F.</t>
  </si>
  <si>
    <t>Carnet dépôt → Régler −1 000 F.</t>
  </si>
  <si>
    <t>Refus ; solde inchangé à 5 000 F.</t>
  </si>
  <si>
    <t>Accepté, solde 5 000 → 6 000.</t>
  </si>
  <si>
    <t>repro-carnet.js (CA-06)</t>
  </si>
  <si>
    <t>31</t>
  </si>
  <si>
    <t>CA-07</t>
  </si>
  <si>
    <t>Retour carnet clôturé deux fois</t>
  </si>
  <si>
    <t>Retour carnet de 2 boîtes créé.</t>
  </si>
  <si>
    <t>1. Clôturer le retour.
2. Clôturer de nouveau le même retour.</t>
  </si>
  <si>
    <t>Le second passage ne change ni le stock ni le solde.</t>
  </si>
  <si>
    <t>Non mesurable avant correction (clôture impossible, voir N9).</t>
  </si>
  <si>
    <t>repro-carnet.js (CA-07)</t>
  </si>
  <si>
    <t>32</t>
  </si>
  <si>
    <t>CA-08</t>
  </si>
  <si>
    <t>Retour carnet de quantité négative</t>
  </si>
  <si>
    <t>Carnet dépôt, produit en stock.</t>
  </si>
  <si>
    <t>Retour carnet → saisir −3 boîtes.</t>
  </si>
  <si>
    <t>Refus avec un message ; stock inchangé.</t>
  </si>
  <si>
    <t>Retour de −3 boîtes accepté.</t>
  </si>
  <si>
    <t>repro-carnet.js (CA-08)</t>
  </si>
  <si>
    <t>33</t>
  </si>
  <si>
    <t>CA-15</t>
  </si>
  <si>
    <t>Af</t>
  </si>
  <si>
    <t>Retour carnet sans motif</t>
  </si>
  <si>
    <t>Carnet dépôt.</t>
  </si>
  <si>
    <t>Retour carnet de 1 boîte sans choisir de motif.</t>
  </si>
  <si>
    <t>Refus avec un message (pas d'erreur serveur).</t>
  </si>
  <si>
    <t>Erreur HTTP 500.</t>
  </si>
  <si>
    <t>repro-carnet.js (CA-15)</t>
  </si>
  <si>
    <t>34</t>
  </si>
  <si>
    <t>CA-12</t>
  </si>
  <si>
    <t>Retour carnet : historique de stock faux</t>
  </si>
  <si>
    <t>Retour carnet de 2 boîtes, stock initial S.</t>
  </si>
  <si>
    <t>1. Créer puis clôturer le retour.
2. Consulter le détail du retour et l'historique du produit.</t>
  </si>
  <si>
    <t>Stock final noté = S + 2 ; un seul mouvement d'historique, début + quantité = fin.</t>
  </si>
  <si>
    <t>Stock final noté S − 2 (98 pour 100 + 2).</t>
  </si>
  <si>
    <t>repro-carnet.js (CA-12)</t>
  </si>
  <si>
    <t>35</t>
  </si>
  <si>
    <t>N9</t>
  </si>
  <si>
    <t>Clôture de retour carnet impossible</t>
  </si>
  <si>
    <t>Base où les identifiants de mouvement numériques existent déjà (cas de la copie).</t>
  </si>
  <si>
    <t>Retour carnet → créer puis clôturer.</t>
  </si>
  <si>
    <t>Clôture réussie ; le mouvement de stock a la clé « RC-&lt;id&gt; ».</t>
  </si>
  <si>
    <t>Échec « Duplicate entry … pkey_unq » à chaque clôture.</t>
  </si>
  <si>
    <t>repro-carnet.js (CA-07/CA-12)</t>
  </si>
  <si>
    <t>36</t>
  </si>
  <si>
    <t>Facturation</t>
  </si>
  <si>
    <t>F1</t>
  </si>
  <si>
    <t>Suppression d'une facture définitive</t>
  </si>
  <si>
    <t>Une facture provisoire, liste des provisoires ouverte.</t>
  </si>
  <si>
    <t>1. Rendre la facture définitive depuis un autre écran.
2. Depuis la liste restée ouverte, supprimer la ligne.</t>
  </si>
  <si>
    <t>Refus : seule une facture provisoire se supprime. Facture et bons inchangés.</t>
  </si>
  <si>
    <t>Facture supprimée, bon resté « charged », plus jamais facturable.</t>
  </si>
  <si>
    <t>repro-facturation.js (F1)</t>
  </si>
  <si>
    <t>37</t>
  </si>
  <si>
    <t>F2</t>
  </si>
  <si>
    <t>Bon facturé deux fois</t>
  </si>
  <si>
    <t>Un bon non facturé.</t>
  </si>
  <si>
    <t>1. Édition des factures : générer la définitive avec ce bon.
2. Depuis le même écran resté ouvert, générer de nouveau avec le bon coché.</t>
  </si>
  <si>
    <t>Le second passage écarte le bon déjà facturé.</t>
  </si>
  <si>
    <t>Le bon figurait sur deux factures (6220 et 6221).</t>
  </si>
  <si>
    <t>repro-facturation.js (F2)</t>
  </si>
  <si>
    <t>38</t>
  </si>
  <si>
    <t>F3</t>
  </si>
  <si>
    <t>A/D</t>
  </si>
  <si>
    <t>Numéros de facture en double</t>
  </si>
  <si>
    <t>Deux organismes avec des bons à facturer.</t>
  </si>
  <si>
    <t>Deux postes génèrent en même temps une facture définitive.</t>
  </si>
  <si>
    <t>Deux numéros différents.</t>
  </si>
  <si>
    <t>5 paires sur 5 avec le même numéro.</t>
  </si>
  <si>
    <t>repro-facturation.js (F3)</t>
  </si>
  <si>
    <t>39</t>
  </si>
  <si>
    <t>F5</t>
  </si>
  <si>
    <t>Facturation : encours remis à zéro</t>
  </si>
  <si>
    <t>Deux ventes sur un même organisme (encours client 4 584).</t>
  </si>
  <si>
    <t>1. Facturer un seul des deux bons.
2. Relire les encours du client et de l'organisme.</t>
  </si>
  <si>
    <t>Encours = montant des bons non facturés (recalcul).</t>
  </si>
  <si>
    <t>Encours client 4 584 → 0 ; organisme inchangé.</t>
  </si>
  <si>
    <t>repro-facturation.js (F5)</t>
  </si>
  <si>
    <t>40</t>
  </si>
  <si>
    <t>Liens assurance</t>
  </si>
  <si>
    <t>N8</t>
  </si>
  <si>
    <t>Création de client assuré non enregistrée</t>
  </si>
  <si>
    <t>Écran de vente, organisme existant.</t>
  </si>
  <si>
    <t>1. Créer un client assuré depuis l'écran de vente.
2. Le rechercher dans la liste des clients.</t>
  </si>
  <si>
    <t>Client, compte client et ayant droit présents ; la vente suivante passe.</t>
  </si>
  <si>
    <t>Réponse succès, mais rien en base ; la vente suivante échouait.</t>
  </si>
  <si>
    <t>repro-assurances-liens.js (N8)</t>
  </si>
  <si>
    <t>41</t>
  </si>
  <si>
    <t>M1</t>
  </si>
  <si>
    <t>Carnet qui remplace l'assurance</t>
  </si>
  <si>
    <t>Client assuré, organisme A à 80 % (RO).</t>
  </si>
  <si>
    <t>Vente carnet → associer un carnet à ce client.</t>
  </si>
  <si>
    <t>L'assurance A reste RO et active ; le carnet est ajouté en complémentaire (non RO), priorité suivante.</t>
  </si>
  <si>
    <t>Assurance supprimée (priorité −1), carnet RO priorité 1.</t>
  </si>
  <si>
    <t>repro-assurances-liens.js (M1)</t>
  </si>
  <si>
    <t>42</t>
  </si>
  <si>
    <t>M2</t>
  </si>
  <si>
    <t>RO empilés</t>
  </si>
  <si>
    <t>Client avec un RO.</t>
  </si>
  <si>
    <t>Modifier client / tiers payant d'une vente : changer l'organisme d'une ligne sans cocher « Nouveau TP principal ».</t>
  </si>
  <si>
    <t>Un seul RO actif.</t>
  </si>
  <si>
    <t>2 RO actifs.</t>
  </si>
  <si>
    <t>repro-assurances-liens.js (M2)</t>
  </si>
  <si>
    <t>43</t>
  </si>
  <si>
    <t>M3</t>
  </si>
  <si>
    <t>Lien ressuscité en priorité −1</t>
  </si>
  <si>
    <t>Même cas que M2.</t>
  </si>
  <si>
    <t>Même procédure que M2.</t>
  </si>
  <si>
    <t>La complémentaire est créée active avec une priorité ≥ 1.</t>
  </si>
  <si>
    <t>Complémentaire active en priorité −1.</t>
  </si>
  <si>
    <t>repro-assurances-liens.js (M3)</t>
  </si>
  <si>
    <t>44</t>
  </si>
  <si>
    <t>M4</t>
  </si>
  <si>
    <t>Bascule silencieuse du RO</t>
  </si>
  <si>
    <t>Carnet en priorité 1, assurance en priorité 2, plus un lien supprimé.</t>
  </si>
  <si>
    <t>Modifier client / tiers payant sans rien changer, valider.</t>
  </si>
  <si>
    <t>RO et priorités inchangés ; le lien supprimé reste supprimé.</t>
  </si>
  <si>
    <t>Carnet devenu RO, assurance RO = 0, lien supprimé reclassé en priorité 2.</t>
  </si>
  <si>
    <t>repro-assurances-liens.js (M4)</t>
  </si>
  <si>
    <t>45</t>
  </si>
  <si>
    <t>Différés</t>
  </si>
  <si>
    <t>DIF-01</t>
  </si>
  <si>
    <t>Règlement pendant une modification</t>
  </si>
  <si>
    <t>Vente comptant de 2 boîtes (5 510 F) en différé pour un client.</t>
  </si>
  <si>
    <t>1. Ouvrir « Modifier » sur la vente.
2. Dans un autre onglet, régler 2 755 F.
3. Valider la copie en différé.</t>
  </si>
  <si>
    <t>Le règlement est refusé (ligne « annulée / modifiée ») tant que la modification est ouverte. Invariant : caisse + dette restante = prix.</t>
  </si>
  <si>
    <t>Le client devait encore 5 510 F avec 2 755 F en caisse (8 265 F).</t>
  </si>
  <si>
    <t>repro-differes.js (DIF-01)</t>
  </si>
  <si>
    <t>46</t>
  </si>
  <si>
    <t>DIF-02</t>
  </si>
  <si>
    <t>Acompte retiré deux fois</t>
  </si>
  <si>
    <t>Vente différée de 5 510 F avec 2 755 F d'acompte.</t>
  </si>
  <si>
    <t>1. Modifier sans rien changer.
2. Valider en différé à 0 F.</t>
  </si>
  <si>
    <t>Dette restante 2 755 (l'acompte reste déduit une seule fois) : caisse + dette = prix.</t>
  </si>
  <si>
    <t>Caisse 0 + dette 2 755 = 2 755 : il manquait 2 755 F.</t>
  </si>
  <si>
    <t>repro-differes.js (DIF-02)</t>
  </si>
  <si>
    <t>47</t>
  </si>
  <si>
    <t>DIF-03</t>
  </si>
  <si>
    <t>Changement de client après règlement</t>
  </si>
  <si>
    <t>Vente différée de 5 510 F, 2 755 F réglés.</t>
  </si>
  <si>
    <t>1. Modifier la vente.
2. Valider pour un autre client.</t>
  </si>
  <si>
    <t>Refus : une vente déjà réglée ne change ni de client ni de mode (décision 1, prise par défaut : refus, pas d'avoir).</t>
  </si>
  <si>
    <t>Client 2 doit 5 510 F ; le règlement du client 1 n'est ni reporté ni rendu.</t>
  </si>
  <si>
    <t>repro-differes.js (DIF-03)</t>
  </si>
  <si>
    <t>48</t>
  </si>
  <si>
    <t>D2</t>
  </si>
  <si>
    <t>Annulation d'une vente réglée</t>
  </si>
  <si>
    <t>Ventes terminées → Annuler.</t>
  </si>
  <si>
    <t>Refus (décision 2, prise par défaut : refus, pas d'avoir).</t>
  </si>
  <si>
    <t>Annulation acceptée, 2 755 F restés en caisse sans contrepartie.</t>
  </si>
  <si>
    <t>repro-differes.js (D2)</t>
  </si>
  <si>
    <t>49</t>
  </si>
  <si>
    <t>D3</t>
  </si>
  <si>
    <t>Liste des règlements vide</t>
  </si>
  <si>
    <t>Au moins un règlement de différé dans la journée, dont un client sans solde.</t>
  </si>
  <si>
    <t>Ouvrir la liste des règlements de différés du jour.</t>
  </si>
  <si>
    <t>La liste affiche les règlements (client sans solde : solde 0).</t>
  </si>
  <si>
    <t>Liste vide pour tous (erreur serveur).</t>
  </si>
  <si>
    <t>repro-differes.js (D3)</t>
  </si>
  <si>
    <t>50</t>
  </si>
  <si>
    <t>D4</t>
  </si>
  <si>
    <t>Relevé : acompte compté comme dû</t>
  </si>
  <si>
    <t>Client avec une vente différée de 5 510 F et 2 755 F d'acompte.</t>
  </si>
  <si>
    <t>Ouvrir le relevé du client.</t>
  </si>
  <si>
    <t>Solde du relevé 2 755 (reste dû).</t>
  </si>
  <si>
    <t>Solde 5 510.</t>
  </si>
  <si>
    <t>repro-differes.js (D4)</t>
  </si>
  <si>
    <t>51</t>
  </si>
  <si>
    <t>D5</t>
  </si>
  <si>
    <t>Ligne de dette en double</t>
  </si>
  <si>
    <t>Vente avec une ligne de dette dupliquée.</t>
  </si>
  <si>
    <t>Annuler la vente.</t>
  </si>
  <si>
    <t>Toutes les lignes de dette de la vente sont annulées.</t>
  </si>
  <si>
    <t>La ligne en double restait active.</t>
  </si>
  <si>
    <t>repro-differes.js (D5)</t>
  </si>
  <si>
    <t>52</t>
  </si>
  <si>
    <t>DIF-07</t>
  </si>
  <si>
    <t>Règlement partiel : montant reçu non contrôlé</t>
  </si>
  <si>
    <t>Dette de 2 755 F.</t>
  </si>
  <si>
    <t>Appel direct : règlement partiel de 2 755 F avec 1 F reçu.</t>
  </si>
  <si>
    <t>Refus : le montant reçu doit couvrir le montant payé.</t>
  </si>
  <si>
    <t>Accepté.</t>
  </si>
  <si>
    <t>repro-differes.js (DIF-07)</t>
  </si>
  <si>
    <t>53</t>
  </si>
  <si>
    <t>DIF-08</t>
  </si>
  <si>
    <t>Le règlement change la date de la dette</t>
  </si>
  <si>
    <t>Vente différée datée d'un mois plus tôt.</t>
  </si>
  <si>
    <t>Faire un règlement, puis consulter la date de la ligne de dette.</t>
  </si>
  <si>
    <t>La ligne garde la date de la vente.</t>
  </si>
  <si>
    <t>Date passée au jour du règlement.</t>
  </si>
  <si>
    <t>repro-differes.js (DIF-08)</t>
  </si>
  <si>
    <t>54</t>
  </si>
  <si>
    <t>DIF-09</t>
  </si>
  <si>
    <t>Ventilation dans l'ordre des clics</t>
  </si>
  <si>
    <t>Deux ventes différées du même client, une ancienne et une récente.</t>
  </si>
  <si>
    <t>Faire un règlement partiel en cochant la récente puis l'ancienne.</t>
  </si>
  <si>
    <t>La plus ancienne est soldée en premier.</t>
  </si>
  <si>
    <t>La récente était soldée, l'ancienne restait due.</t>
  </si>
  <si>
    <t>repro-differes.js (DIF-09)</t>
  </si>
  <si>
    <t>55</t>
  </si>
  <si>
    <t>DIF-10</t>
  </si>
  <si>
    <t>Valider à 0 F sans message</t>
  </si>
  <si>
    <t>Dette à régler.</t>
  </si>
  <si>
    <t>Écran « Faire un règlement » : valider sans saisir de montant reçu.</t>
  </si>
  <si>
    <t>Message « Saisissez le montant reçu. »</t>
  </si>
  <si>
    <t>Rien ne se passait (non joué à l'écran avant correction).</t>
  </si>
  <si>
    <t>Contrôle à l'écran uniquement</t>
  </si>
  <si>
    <t>56</t>
  </si>
  <si>
    <t>Non-régression</t>
  </si>
  <si>
    <t>NR-01</t>
  </si>
  <si>
    <t>—</t>
  </si>
  <si>
    <t>Annulation simple et double annulation</t>
  </si>
  <si>
    <t>Vente comptant encaissée.</t>
  </si>
  <si>
    <t>Annuler la vente ; tenter une seconde annulation (autre poste).</t>
  </si>
  <si>
    <t>Une seule annulation ; stock rendu une fois ; la seconde est refusée.</t>
  </si>
  <si>
    <t>retours/test-annulation-vente-double.js</t>
  </si>
  <si>
    <t>57</t>
  </si>
  <si>
    <t>NR-02</t>
  </si>
  <si>
    <t>Différés : modification, règlement, solde, nom du client</t>
  </si>
  <si>
    <t>Ventes différées d'essai.</t>
  </si>
  <si>
    <t>Parcours complets « Gestion des différés » : modifier, régler (espèces, mobile money), relevé, PDF, Excel.</t>
  </si>
  <si>
    <t>Solde du relevé = somme des restes dus ; PDF et Excel conformes à l'écran.</t>
  </si>
  <si>
    <t>retours/test-differes-*.js, test-differe-nom-client.js</t>
  </si>
  <si>
    <t>58</t>
  </si>
  <si>
    <t>NR-03</t>
  </si>
  <si>
    <t>Mouvements de caisse</t>
  </si>
  <si>
    <t>Écran Mouvements de caisse : filtres, saisie d'une entrée et d'une sortie.</t>
  </si>
  <si>
    <t>Trois types proposés ; filtres et saisie corrects.</t>
  </si>
  <si>
    <t>caisse/test-mvt-caisse.js</t>
  </si>
  <si>
    <t>59</t>
  </si>
  <si>
    <t>NR-04</t>
  </si>
  <si>
    <t>Vente au détail avec déconditionnement</t>
  </si>
  <si>
    <t>Produit au détail avec sa boîte parente.</t>
  </si>
  <si>
    <t>Vente au comptant de 3 unités avec 2 en rayon.</t>
  </si>
  <si>
    <t>Boîte ouverte, stock et historique cohérents.</t>
  </si>
  <si>
    <t>vente/test-historique-deconditionnement.js (partie dépôt : poste avec un dépôt de type 2)</t>
  </si>
  <si>
    <t>60</t>
  </si>
  <si>
    <t>NR-05</t>
  </si>
  <si>
    <t>Vente assurance : deuxième assurance, changement de tiers payant</t>
  </si>
  <si>
    <t>Client à deux assurances.</t>
  </si>
  <si>
    <t>Modifier la deuxième assurance d'une vente ; changer le tiers payant d'une vente.</t>
  </si>
  <si>
    <t>La première assurance et la référence du bon sont intactes ; un échec ne laisse rien à moitié.</t>
  </si>
  <si>
    <t>vente/test-deuxieme-assurance.js, journal/test-vente-changer-tiers-payant.js</t>
  </si>
  <si>
    <t>61</t>
  </si>
  <si>
    <t>NR-06</t>
  </si>
  <si>
    <t>Facturation des carnets dépôt</t>
  </si>
  <si>
    <t>Carnet dépôt avec des ventes.</t>
  </si>
  <si>
    <t>Gérer carnet dépôt → onglet FACTURES, créer, voir, imprimer.</t>
  </si>
  <si>
    <t>Factures créées et imprimées avec le détail des médicaments.</t>
  </si>
  <si>
    <t>carnet-depot/test-facturation-carnet-depot.js</t>
  </si>
  <si>
    <t>62</t>
  </si>
  <si>
    <t>NR-07</t>
  </si>
  <si>
    <t>Crédit client et mode de règlement client</t>
  </si>
  <si>
    <t>Client avec crédit.</t>
  </si>
  <si>
    <t>Vente à crédit ; réglage du mode de règlement du client.</t>
  </si>
  <si>
    <t>Crédit et modes conformes.</t>
  </si>
  <si>
    <t>vente/test-client-credit-course.js, vente/test-mode-reglement-client.js</t>
  </si>
  <si>
    <t>Cas</t>
  </si>
  <si>
    <t>KO</t>
  </si>
  <si>
    <t>Bloqué</t>
  </si>
  <si>
    <t>% OK</t>
  </si>
  <si>
    <t>Total</t>
  </si>
  <si>
    <t>Calculé à partir de la colonne Statut de l'onglet « Cas de recette ».</t>
  </si>
  <si>
    <t>Sujet</t>
  </si>
  <si>
    <t>Constats</t>
  </si>
  <si>
    <t>État dans cette version</t>
  </si>
  <si>
    <t>Décision à prendre</t>
  </si>
  <si>
    <t>Décision prise</t>
  </si>
  <si>
    <t>Par</t>
  </si>
  <si>
    <t>Date des écritures de caisse</t>
  </si>
  <si>
    <t>VC-12, VC-16</t>
  </si>
  <si>
    <t>Seules les dates futures sont refusées. Une modification d'une vente de la veille et un mouvement daté d'hier gardent des dates différentes selon l'écriture.</t>
  </si>
  <si>
    <t>Date de l'opération réelle, ou date de la saisie ?</t>
  </si>
  <si>
    <t>Vente différée réglée puis modifiée</t>
  </si>
  <si>
    <t>Refus (pas d'avoir), choisi par défaut.</t>
  </si>
  <si>
    <t>Refuser, ou reporter avec un avoir ?</t>
  </si>
  <si>
    <t>Annulation d'une vente déjà réglée</t>
  </si>
  <si>
    <t>Refuser, ou créer un avoir ?</t>
  </si>
  <si>
    <t>Encours à la facturation</t>
  </si>
  <si>
    <t>L'encours est recalculé depuis les bons non facturés.</t>
  </si>
  <si>
    <t>Remise à zéro, ou diminution du montant facturé ?</t>
  </si>
  <si>
    <t>Remise de la vente assurance</t>
  </si>
  <si>
    <t>Tranché le 26/10 : remise sur la part client de chaque produit, plafond réparti au prorata.</t>
  </si>
  <si>
    <t>Appli mobile</t>
  </si>
  <si>
    <t>VC-06, VC-08, VC-14, CR-07</t>
  </si>
  <si>
    <t>Le serveur refuse désormais les montants incohérents envoyés par le poste.</t>
  </si>
  <si>
    <t>Vérifier avec l'appli mobile et fixer le calendrier.</t>
  </si>
  <si>
    <t>Encours sans verrou</t>
  </si>
  <si>
    <t>CR-04</t>
  </si>
  <si>
    <t>Non corrigé : non reproduit (3 paires de clôtures simultanées justes).</t>
  </si>
  <si>
    <t>Faut-il ajouter un verrou malgré tout ?</t>
  </si>
  <si>
    <t>Réussi : VC-01 précondition : vente comptant de 2 boîtes encaissée  [4c8ce3c2-ce74-43c6-a51e-0bc9b63a8b34]
Réussi : VC-01 attendu : modifier la quantité d'une ligne d'une vente encaissée est refusé, ligne inchangée (2 boîtes)  [réponse {"msg":"Cette vente (N° 261026_00268) a été clôturée le 26/10/2026 19:36 : elle ne peut plus être modifiée ici. Pour retirer un produit, passez par « Ventes ter ; ligne après = qté|montant 2|6950 ; vente {"statut":"is_Closed","annulee":false,"prix":6950,"remise":0,"partClient":0,"tva":0,"client":"NU…</t>
  </si>
  <si>
    <t>Claude (tests automatiques)</t>
  </si>
  <si>
    <t>26/10/2026</t>
  </si>
  <si>
    <t>Test automatique repro-vente-comptant.js, 26/10/2026 19:35-19:45 : 2 réussi(s), 0 en échec</t>
  </si>
  <si>
    <t>Réussi : VC-02 attendu : « Terminer la prévente » sur une vente encaissée est refusé, statut is_Closed conservé  [réponse {"msg":"Cette vente (N° 261026_00269) a été clôturée le 26/10/2026 19:36 : elle ne peut plus être modifiée ici. Pour ret ; statut après is_Closed ; transactions de caisse 1]</t>
  </si>
  <si>
    <t>Test automatique repro-vente-comptant.js, 26/10/2026 19:35-19:45 : 1 réussi(s), 0 en échec</t>
  </si>
  <si>
    <t>Réussi : VC-04 précondition : modification ouverte (copie en cours)  [{"msg":"Opération effectuée avec success","data":{"lgPREENREGISTREMENTID":"a923845f-86f8-4a9b-a563-9b98c08518bd","intPRICE":3475,"intPRICEREMISE":0,"strREF":"26]
Réussi : VC-04 attendu : annuler la vente pendant sa modification est refusé, ou la clôture de la copie ne la réannule pas (une seule annulation ; stock = stock de départ − 1 car la copie est vendue)  [annulation {"msg":"Cette vente est en cours de modification : terminez ou abandonnez la mod ; clôture copie {"s":true,"m":"Opération effectuée avec success"} ; annulations de l'origine 1 ; stock départ 97 → fin 96 ; somme caiss…</t>
  </si>
  <si>
    <t>Réussi : VC-05 attendu : TVA de la vente = somme des TVA des lignes  [clôture true ; TVA en-tête 499 ; somme des lignes 499 ; TVA du mouvement de caisse 499]</t>
  </si>
  <si>
    <t>Test automatique repro-remise-caisse.js, 26/10/2026 19:35-19:45 : 1 réussi(s), 0 en échec</t>
  </si>
  <si>
    <t>Réussi : VC-06 attendu : une vente encaissée au net sans remise n'enregistre pas de remise (remise de la vente = 0)  [net demandé sans remiseId 3270 (plein tarif 3270) ; clôture true ; remise enregistrée sur la vente 0 ; transaction montant|remise|payé 3270|0|3270]</t>
  </si>
  <si>
    <t>Réussi : VC-05/07 précondition : remise de 10 % posée et appliquée (prix 3270 F, TVA 18 %)  [pose {"msg":"Opération effectuée avec success","success":true,"http":200} ; net {"margeUg":0,"montant":3270,"montantAccount":0,"restructuring":false,"remise":325,"cmuAmount":0,"montantTva":499,"montantNet":2945,"marge":198,"montantTtcUg":0,"montantTvaUg":0,"montantTp":0,"tiersPay]
Réussi : VC-07 attendu : la remise enregistrée est celle affichée et encaissée (prix − remise = net payé)  [remise affichée 325 ; net affiché 2945 ; remise enregistrée (vente) 325 ; prix − remise enregistrée 2945 ; transaction remise|net|payé 325|2945|2945]</t>
  </si>
  <si>
    <t>Test automatique repro-remise-caisse.js, 26/10/2026 19:35-19:45 : 2 réussi(s), 0 en échec</t>
  </si>
  <si>
    <t>Réussi : VC-08 précondition : vente encaissée rattachée au client d'essai  [{"statut":"is_Closed","annulee":false,"prix":3475,"remise":0,"partClient":0,"tva":0,"client":"ZZAUDIT-CL-VC08"}]
Réussi : VC-08 attendu : changer le client d'une vente encaissée (identifiant inconnu) est refusé, client conservé  [réponse {"msg":"Cette vente (N° 261026_00272) a été clôturée le 26/10/2026 19:36 : elle ne peut plus être modifiée ici. Pour ret ; client après ZZAUDIT-CL-VC08]</t>
  </si>
  <si>
    <t>Réussi : VC-09 précondition : deux ventes en cours de 1 boîte chacune, stock 1, FORCER_STOCK_VENTE = 0  [af947d3d-f2fb-4a6e-9ca2-35af72429c04 / dda46ad3-e694-45c6-a19a-aa1e47c77f64]
Réussi : VC-09 attendu : la seconde validation est refusée, le stock ne passe pas sous zéro  [clôture 1 true ; clôture 2 {"s":false,"m":"Impossible de valider la vente : stock insuffisant pour A CIN 500MG CPR PELL B/3 (une autre vente l'a peut-être pris entre-temps). Veuillez modifier la vente."} ; stock final 0]</t>
  </si>
  <si>
    <t>Réussi : VC-11 précondition : lot A (péremption proche) épuisé, lot B à 5 ; la vente de 2 boîtes sort du lot B  [ZZAUDIT-LOT-A=0,ZZAUDIT-LOT-B=3]
Réussi : VC-11 attendu : l'annulation rend les 2 boîtes au lot B d'où elles sont sorties (A=0, B=5)  [annulation true ; lots après annulation ZZAUDIT-LOT-A=0,ZZAUDIT-LOT-B=5]</t>
  </si>
  <si>
    <t>ÉCHEC : VC-12 attendu : toutes les écritures de la modification d'une vente d'hier portent la même date  [clôture copie true ; transaction de la copie 2026-10-25 ; contre-passation 2026-10-25,2026-10-25 ; recette de la copie 2026-10-26 ; mouvement de stock de la copie 2026-10-26 ; aujourd'hui 2026-10-26]</t>
  </si>
  <si>
    <t>Test automatique repro-vente-comptant.js, 26/10/2026 19:35-19:45 : 0 réussi(s), 1 en échec. Écart attendu : décision métier en attente sur la date des écritures (onglet Décisions), rien n'a été changé</t>
  </si>
  <si>
    <t>Réussi : VC-14 attendu : une clôture qui déclare 1 F payé pour une vente de 6950 F est refusée  [clôture {"s":false,"m":"Le montant réglé (1 F) est inférieur au net de la vente (6950 F) : vérifiez les montants saisis, ou choisissez le règlement en différé."} ; transaction montant|net|payé|réglé  ; recette aucune]</t>
  </si>
  <si>
    <t>ÉCHEC : VC-16 attendu : un mouvement de caisse saisi à la date d'hier porte la même date dans le mouvement, le règlement et la transaction  [{"msg":"Opération effectuée .","mvtId":"c9e4721a-3d9c-40ba-ad98-915246f36bb7","success":true,"http": ; mouvement 2026-10-25 | r�glement 2026-10-25 | transaction 2026-10-26]
Réussi : VC-16 attendu : un mouvement de caisse daté de demain est refusé  [{"msg":"La date du mouvement ne peut pas être dans le futur.","success":false,"http":200}]</t>
  </si>
  <si>
    <t>Test automatique repro-remise-caisse.js, 26/10/2026 19:35-19:45 : 1 réussi(s), 1 en échec. Le cas « date de demain » est refusé comme attendu ; le cas « hier » reste en échec : décision métier en attente (onglet Décisions)</t>
  </si>
  <si>
    <t>Réussi : N1 attendu : une annulation qui échoue (produit sans ligne de stock dans l'emplacement) ne laisse aucune écriture  [réponse {"msg":"Annulation impossible : le produit A CIN 500MG CPR PELL B/3 n'a pas de ligne de stock dans l'emplacement de la v ; vente annulée ? false ; copies d'annulation 0 ; contre-passations 0]</t>
  </si>
  <si>
    <t>Réussi : N2 attendu : ouvrir la modification d'une vente annulée est refusé  [réponse {"msg":"Seule une vente terminée et non annulée peut être modifiée : actualisez la liste des ventes.","success":false,"http":200} ; vente renvoyée comme « copie » : statut|copy|prix|annule -]</t>
  </si>
  <si>
    <t>Réussi : CR-01 précondition : vente assurance encaissée, encours organisme et client = part tiers payant (564)  [encours organisme|client 564|564 ; net 140]
Réussi : CR-01 attendu : après annulation, l'encours revient à 0  [annulation true ; encours organisme 564 → 0 ; encours client 564 → 0]</t>
  </si>
  <si>
    <t>Test automatique repro-vente-assurance.js, 26/10/2026 19:35-19:45 : 2 réussi(s), 0 en échec</t>
  </si>
  <si>
    <t>Réussi : CR-02 précondition : modification ouverte  [1dd5aee8-1a73-45ae-a79c-d9ce16c3db6b]
Réussi : CR-02 attendu : modification sans changement → encours = une seule part (564)  [clôture copie {"s":true,"m":"Opération effectuée avec success"} ; encours organisme 564 ; encours client 564]</t>
  </si>
  <si>
    <t>Réussi : CR-03 attendu : clôture refusée (bon déjà utilisé) → aucun encours modifié, aucune ligne tiers payant close  [clôture {"s":false,"m":"Le numéro de   ZZAUDIT-DOUBLON  est déjà utilisé par l'assureur :: ZZAUDIT-TP-CR03B"} ; encours A 353 → 353 ; encours B 212 → 212 ; vente is_Process ; lignes ZZAUDIT-TP-CR03A/50/353/is_Process/unpaid ; ZZAUDIT-TP-CR03B/30/212/is_Process/unpaid]
Réussi : CR-03 attendu : un second essai identique ne recompte rien  [second essai false ; encours A 353 → 353]</t>
  </si>
  <si>
    <t>Réussi : CR-05 précondition : remise appliquée sur la vente assurance  [{"statut":"is_Closed","annulee":false,"prix":2010,"remise":40,"partClient":362,"tva":0,"client":"ZZAUDIT-CL-VR80"} ; net affiché 360]
Réussi : CR-05 attendu : en espèces, le montant réglé de la transaction = montant payé par le client (net arrondi de la part client 362)  [prix 2010 ; remise 40 ; parts TP 1608 ; part client 362 ; transaction payé|réglé|remise 360|360|40]</t>
  </si>
  <si>
    <t>Test automatique repro-vo-remise.js, 26/10/2026 19:35-19:45 : 2 réussi(s), 0 en échec</t>
  </si>
  <si>
    <t>Réussi : N3 attendu : en différé sans acompte, la dette du client = part client (362)  [part client 362 ; remise 40 ; dette prix|reste 362|362]</t>
  </si>
  <si>
    <t>Test automatique repro-vo-remise.js, 26/10/2026 19:35-19:45 : 1 réussi(s), 0 en échec</t>
  </si>
  <si>
    <t>Réussi : CR-06 attendu : avec une remise (10 %) supérieure à la part client (5 %), parts TP + part client = prix − remise  [prix 2010 ; remise 10 ; parts TP 1909 ; part client 91 ; total 2000 (attendu 2000)]</t>
  </si>
  <si>
    <t>Réussi : CR-07 attendu : une part de 1 F et un taux de 1 % renvoyés par le poste (calcul serveur : 80 %) sont refusés, ou ignorés au profit du calcul serveur  [clôture true ; part calculée [] ; ligne enregistrée ZZAUDIT-TP-CR07/80/564/is_Closed/unpaid ; encours organisme 564]</t>
  </si>
  <si>
    <t>Test automatique repro-vente-assurance.js, 26/10/2026 19:35-19:45 : 1 réussi(s), 0 en échec</t>
  </si>
  <si>
    <t>Réussi : CR-09 attendu : ajouter un tiers payant à 250 % est refusé  [réponse {"msg":"Le taux du tiers payant doit être compris entre 0 et 100 %.","success":false,"http":200} ; lignes ZZAUDIT-TP-CR09A/70/0/is_Process/unpaid]</t>
  </si>
  <si>
    <t>Réussi : CR-10 attendu : retirer le tiers payant d'une vente assurance encaissée est refusé, la ligne reste facturable  [réponse {"msg":"Cette vente (N° 261026_00291) a été clôturée le 26/10/2026 19:37 : elle ne peut plus être mo ; lignes avant ZZAUDIT-TP-CR10/80/564/is_Closed/unpaid ; après ZZAUDIT-TP-CR10/80/564/is_Closed/unpaid]</t>
  </si>
  <si>
    <t>Réussi : CA-03 précondition : la vente du tiers payant exclu a sa ligne vente_exclu
Réussi : CA-03 attendu : aucune des 8 ventes ordinaires suivantes n'a de ligne « vente exclue »  [0 vente(s) ordinaire(s) enregistrée(s) comme exclues, au nom de -]
Réussi : CA-03 remise en état : une vente ordinaire après une vente « dépôt » n'est plus enregistrée comme exclue</t>
  </si>
  <si>
    <t>Test automatique repro-vente-assurance.js, 26/10/2026 19:35-19:45 : 3 réussi(s), 0 en échec</t>
  </si>
  <si>
    <t>Réussi : CA-09 attendu : la part passe de l'organisme A à l'organisme B (encours A 564 → 0, B 0 → 564)  [réponse {"msg":"Opération effectuée avec succèss","success":true,"refId":"d1353385-22c4-412e-afc6-fc71f735a8 ; encours A 0 ; encours B 564 ; lignes ZZAUDIT-TP-CA09B/80/564/is_Closed/unpaid]</t>
  </si>
  <si>
    <t>Réussi : N5 attendu : changer le tiers payant d'une vente déjà facturée (ligne « charged ») est refusé, la ligne facturée reste  [réponse {"msg":"Cette vente a déjà été facturée à l'organisme : son client ou ses tiers payants ne se modifi ; ligne facturée encore présente ? 1 ; lignes de la vente ZZAUDIT-TP-CA09A/80/564/is_Closed/charged]</t>
  </si>
  <si>
    <t>Réussi : Règle 1 attendu : produit remisable seul à 80 % : remise = part client (402) × 10 % = 40, part client = 362  [prix 2010 ; parts TP 1608 ; remise 40 (ligne 40) ; part client 362]</t>
  </si>
  <si>
    <t>Réussi : Règle 2 attendu : remisable + non remisable : remise sur la seule part client du remisable (402 → 40), 0 sur l'autre, part client = total des parts client − remise  [clôture true ; prix 2010 + 2755 ; parts TP 3812 ; remises lignes 40 / 0 ; remise vente 40 ; part client 913 (attendu 913)]</t>
  </si>
  <si>
    <t>Réussi : Règle 3 attendu : plafond par vente de 1 000 : part de l'organisme = 1 000, répartie au prorata ; remise sur la part client augmentée du remisable (1588 → 158)  [clôture true ; prix 2010 + 2755 ; parts TP 1000 ; remises lignes 158 / 0 ; remise vente 158 ; part client 3607 (attendu 3607)]</t>
  </si>
  <si>
    <t>Réussi : CA-06 précondition : solde du carnet dépôt d'essai = 5 000  [5000]
Réussi : CA-06 attendu : un règlement de carnet dépôt de −1 000 F est refusé, solde inchangé  [réponse {"msg":"Le montant du règlement doit être supérieur à zéro.","success":false,"http":200} ; solde 5000 → 5000]</t>
  </si>
  <si>
    <t>Test automatique repro-carnet.js, 26/10/2026 19:35-19:45 : 2 réussi(s), 0 en échec</t>
  </si>
  <si>
    <t>Réussi : CA-07 précondition : retour carnet de 2 boîtes créé (stock 100)  [{"data":{"id":7515},"success":true,"http":200}]
Réussi : CA-07 attendu : clôturer deux fois le même retour ne recompte ni le stock ni le solde  [clôtures true/true ; stock 100 → 102 → 102 ; solde 5000 → 3290 → 3290]</t>
  </si>
  <si>
    <t>Réussi : CA-08 attendu : un retour de −3 boîtes est refusé  [réponse {"msg":"La quantité retournée doit être supérieure à zéro.","success":false,"http":200} ; stock 102 → 102]</t>
  </si>
  <si>
    <t>Test automatique repro-carnet.js, 26/10/2026 19:35-19:45 : 1 réussi(s), 0 en échec</t>
  </si>
  <si>
    <t>Réussi : CA-15 attendu : un retour sans motif est refusé avec un message (pas une erreur 500)  [HTTP 200 ; {"msg":"Choisissez le motif du retour.","success":false,"http":200}]</t>
  </si>
  <si>
    <t>Réussi : CA-12 attendu : le détail du retour (une entrée en stock) note stock final = stock initial + 2  [stock initial 100 ; stock final noté 102 ; quantité 2]
Réussi : CA-12 attendu : l'historique de stock du retour enchaîne (début + quantité = fin) et n'est écrit qu'une fois  [mouvements : 100+2=102]</t>
  </si>
  <si>
    <t>Réussi : CA-07 précondition : retour carnet de 2 boîtes créé (stock 100)  [{"data":{"id":7515},"success":true,"http":200}]
Réussi : CA-12 attendu : le détail du retour (une entrée en stock) note stock final = stock initial + 2  [stock initial 100 ; stock final noté 102 ; quantité 2]
Réussi : CA-07 attendu : clôturer deux fois le même retour ne recompte ni le stock ni le solde  [clôtures true/true ; stock 100 → 102 → 102 ; solde 5000 → 3290 → 3290]
Réussi : CA-12 attendu : l'historique de stock du retour enchaîne (début + quantité = fin) et n'est écrit qu'une fois  [mouvements : 100+2=102]</t>
  </si>
  <si>
    <t>Test automatique repro-carnet.js, 26/10/2026 19:35-19:45 : 4 réussi(s), 0 en échec</t>
  </si>
  <si>
    <t>Réussi : F1 attendu : supprimer une facture définitive par DELETE facturation/{id} est refusé (ou ses bons redeviennent facturables)  [HTTP 200 ; facture encore en base ? 1 ; statut du bon charged ; factures définitives restantes portant le bon : 6220]</t>
  </si>
  <si>
    <t>Test automatique repro-facturation.js, 26/10/2026 19:35-19:45 : 1 réussi(s), 0 en échec</t>
  </si>
  <si>
    <t>Réussi : F2 précondition : facture définitive générée, bon marqué « charged »  [{"status":1,"http":200} ; statut charged ; factures 6220]
Réussi : F2 attendu (définitive, écran resté ouvert) : un bon déjà facturé n'est pas facturé une seconde fois  [seconde génération {"status":0,"http":200} ; factures définitives portant le bon : 6220]
Réussi : F2 attendu (provisoire) : un bon déjà facturé n'entre pas dans une facture provisoire  [génération provisoire {"success":true,"http":200} ; provisoires portant le bon : ]</t>
  </si>
  <si>
    <t>Test automatique repro-facturation.js, 26/10/2026 19:35-19:45 : 3 réussi(s), 0 en échec</t>
  </si>
  <si>
    <t>Réussi : F3 attendu : 5 paires de générations simultanées produisent toujours deux numéros différents  [0 paire(s) sur 5 avec le même numéro : 6221,6222 ; 6223,6224 ; 6225,6226 ; 6227,6228 ; 6229,6230]</t>
  </si>
  <si>
    <t>Réussi : F5 attendu : facturer un seul des deux bons laisse l'encours de l'autre (2292)  [encours organisme 4584 → 2292 ; encours client 4584 → 2292]</t>
  </si>
  <si>
    <t>Réussi : N8 attendu : un client assuré créé avec succès par l'écran existe en base (client / compte / ayant droit = 1 / 1 / 1)  [réponse succès, identifiant ebbca99d-c945-407b-a45c-7c94f9a6db3c ; en base client / compte / ayant droit : 1 / 1 / 1]</t>
  </si>
  <si>
    <t>Test automatique repro-assurances-liens.js, 26/10/2026 19:35-19:45 : 1 réussi(s), 0 en échec</t>
  </si>
  <si>
    <t>Réussi : M1 attendu : associer un carnet à un client assuré garde son assurance active et RO, le carnet n'est pas RO  [réponse {"data":{"strLASTNAME":"ZZAUDIT M1","lgTIERSPAYANTID":"ZZAUDIT-TP-M1A","fullName ; liens avant M1A/enable/RO=1/prio=1 ; après M1A/enable/RO=1/prio=1 ; M1K/enable/RO=0/prio=2]</t>
  </si>
  <si>
    <t>Réussi : M2 attendu : après « Modifier client / tiers payant » vers un organisme non rattaché, le client n'a qu'un seul RO actif  [réponse {"msg":"Opération effectuée avec succèss","success":true,"refId":"f96e764f-8389- ; RO actifs 1 ; liens M2A/enable/RO=0/prio=2 ; M2B/enable/RO=1/prio=1]
Réussi : M2 attendu (case « principal » non cochée) : un seul RO actif après le changement d'organisme  [réponse {"msg":"Opération effectuée avec succèss","success":true,"refId":"b9766d72-1194- ; RO actifs 1 ; liens M2bA/enable/RO=1/prio=1 ; M2bB/enable/RO=0/prio=2]</t>
  </si>
  <si>
    <t>Test automatique repro-assurances-liens.js, 26/10/2026 19:35-19:45 : 2 réussi(s), 0 en échec</t>
  </si>
  <si>
    <t>Réussi : M3 attendu : la complémentaire C remplaçant un lien supprimé est créée active avec une priorité ≥ 1, sans hériter du lien supprimé  [réponse {"msg":"Opération effectuée avec succèss","success":true,"refId":"7d267fc8-5505- ; liens M3A/enable/RO=1/prio=1 ; M3C/enable/RO=0/prio=2 ; M3B/delete/RO=0/prio=-1]
Réussi : M3 attendu (case « principal » non cochée) : la complémentaire C est créée active avec une priorité ≥ 1  [réponse {"msg":"Opération effectuée avec succèss","success":true,"refId":"0d7861e9-78ff- ; liens M3bA/enable/RO=1/prio=1 ; M3bC/enable/RO=0/prio=2 ; M3bB/delete/RO=0/prio=-1]</t>
  </si>
  <si>
    <t>Réussi : M4 attendu : enregistrer la modification sans rien changer laisse l'assurance RO et le carnet non RO  [réponse {"msg":"Opération effectuée avec succèss","success":true,"refId":"873a40c5-9c97- ; liens avant M4A/enable/RO=1/prio=2 ; M4K/enable/RO=0/prio=1 ; M4D/delete/RO=0/prio=-1 ; après M4A/enable/RO=1/prio=2 ; M4K/enable/RO=0/prio=1 ; M4D/delete/RO=0/prio=-1]
Réussi : M4 attendu : le lien supprimé garde sa priorité -1 (il n'est pas reclassé avec les liens actifs)  [M4A/enable/RO=1/prio=2 ; M4K/enable/RO=0/prio=1 ; M4D/delete/RO=0/prio=-1]</t>
  </si>
  <si>
    <t>Réussi : DIF-01 attendu : un règlement fait pendant la modification est refusé, ou déduit de la dette de la copie (caisse + dette = prix)  [règlement pendant modification {"s":false,"m":"Une des ventes choisies a été annulée ou modifiée : rechargez la liste."} ; clôture copie true ; dette restante 5510 + réglé 0 = 5510 (prix 5510)]</t>
  </si>
  <si>
    <t>Test automatique repro-differes.js, 26/10/2026 19:35-19:45 : 1 réussi(s), 0 en échec</t>
  </si>
  <si>
    <t>Réussi : DIF-02 précondition : vente différée de 5510 avec 2755 d'acompte ; caisse + dette = prix  [caisse 2755 ; dette 2755]
Réussi : DIF-02 attendu : après modification sans changement (copie en différé, 0 reçu), caisse + dette = prix  [clôture copie true ; caisse nette 0 + dette 5510 = 5510 (prix 5510)]</t>
  </si>
  <si>
    <t>Test automatique repro-differes.js, 26/10/2026 19:35-19:45 : 2 réussi(s), 0 en échec</t>
  </si>
  <si>
    <t>Réussi : DIF-03 attendu : vente déjà réglée de 2755 puis passée à un autre client : refus, ou règlement reporté (dettes + réglé = prix)  [clôture copie false ; dette client 1 2755 ; dette client 2 0 ; réglé par le client 1 2755 ; total 5510 (prix 5510)]</t>
  </si>
  <si>
    <t>Réussi : D2 attendu : annuler une vente différée déjà réglée en partie est refusé (ou un avoir est créé)  [annulation {"s":false,"m":"Cette vente a déjà été réglée en partie (2755 F) : remboursez le client ou faites-lu ; dette 2755 ; réglé resté en caisse 2755]</t>
  </si>
  <si>
    <t>Réussi : D3 attendu : la liste des règlements de différés du jour montre les règlements de tous les clients (dont celui dont la vente a été annulée)  [lignes renvoyées 3 (règlements du jour faits par le test : 2 clients)]</t>
  </si>
  <si>
    <t>Réussi : D4 attendu : le solde du relevé = reste dû (prix 5510 − acompte 2755 = 2755)  [solde du relevé 2755 ; reste dû 2755]</t>
  </si>
  <si>
    <t>Réussi : D5 attendu : une vente portant deux lignes de dette (doublon, données réelles) est annulée sans laisser de dette  [annulation true ; lignes de dette encore actives 0 ; dette du client 0]</t>
  </si>
  <si>
    <t>Réussi : DIF-07 attendu : un règlement partiel qui déclare 1 F reçu pour 2755 F payés est refusé  [règlement {"s":false,"m":"Le montant reçu (1 F) est inférieur au montant réglé (2755 F)."} ; dette 5510]</t>
  </si>
  <si>
    <t>Réussi : DIF-08 attendu : la date de la ligne de dette reste celle de la vente (il y a 30 jours) après un règlement  [date de la vente | date de la ligne de dette après règlement : 2026-09-26 | 2026-09-26 (la liste « Différés » affiche, trie et filtre sur cette date : ReglementServiceImpl.java:213-215, :242)]</t>
  </si>
  <si>
    <t>Réussi : DIF-09 attendu : un règlement partiel solde d'abord la vente la plus ancienne  [reste de l'ancienne 0 ; reste de la récente 2755]</t>
  </si>
  <si>
    <t>Aucun test automatique pour ce cas : à jouer à l'écran.. Contrôle à l'écran seulement (message « Saisissez le montant reçu. ») : non automatisé, à vérifier à l'écran</t>
  </si>
  <si>
    <t>11 contrôle(s) réussi(s), 0 en échec.</t>
  </si>
  <si>
    <t>Test automatique test-annulation-vente-double.js, 26/10/2026 19:35-19:45 : 11 réussi(s), 0 en échec</t>
  </si>
  <si>
    <t>54 contrôle(s) réussi(s), 2 en échec.
ÉCHEC : Bouton « Imprimer (PDF) » : ouvre le relevé avec la période et le client de l'écran
ÉCHEC : PDF : titre et période, client, lignes (ventes, règlement, fin de mois), totaux = écran</t>
  </si>
  <si>
    <t>Test automatique test-differes-modification, test-differes-reglement, test-differes-solde, test-differe-nom-client.js, 26/10/2026 19:35-19:45 : 54 réussi(s), 2 en échec. Environnement du poste : les 2 échecs portent sur l'ouverture du PDF par le navigateur de test (Chromium sans écran télécharge le PDF au lieu d'exposer son adresse). Le PDF produit par le serveur a été lu à part le 26/10 : titre, client, lignes et totaux conformes à l'écran</t>
  </si>
  <si>
    <t>Test automatique test-mvt-caisse.js, 26/10/2026 19:35-19:45 : 11 réussi(s), 0 en échec</t>
  </si>
  <si>
    <t>9 contrôle(s) réussi(s), 6 en échec.
ÉCHEC : Jeu d'essai : produit au détail (boîte de 14) et dépôt trouvés  [8452598D ]
ÉCHEC : B. Vente au dépôt de 3 (2 en rayon) validée  [{"msg":"Erreur: Echec de validation de la vente","success":false}]
ÉCHEC : B. Officine : ligne de vente au dépôt part du stock après ouverture (16 → 13)  [[]]
ÉCHEC : B. Officine : dernière ligne = stock réel  [undefined / 2]
ÉCHEC : B. Dépôt : entrée en stock en hausse (0 → 3)  [[]]
ÉCHEC : B. Dépôt : dernière ligne = stock réel du dépôt  [undefined / 0]</t>
  </si>
  <si>
    <t>Test automatique test-historique-deconditionnement.js, 26/10/2026 19:35-19:45 : 9 réussi(s), 6 en échec. Environnement du poste : la partie A (officine) passe en entier ; la partie B demande un dépôt de type 2, absent de la base de test (0 dépôt)</t>
  </si>
  <si>
    <t>21 contrôle(s) réussi(s), 0 en échec.</t>
  </si>
  <si>
    <t>Test automatique test-deuxieme-assurance, test-vente-changer-tiers-payant.js, 26/10/2026 19:35-19:45 : 21 réussi(s), 0 en échec</t>
  </si>
  <si>
    <t>33 contrôle(s) réussi(s), 0 en échec.</t>
  </si>
  <si>
    <t>Test automatique test-facturation-carnet-depot.js, 26/10/2026 19:35-19:45 : 33 réussi(s), 0 en échec</t>
  </si>
  <si>
    <t>Test automatique test-client-credit-course, test-mode-reglement-client.js, 26/10/2026 19:35-19:45 : 33 réussi(s), 0 en échec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</si>
</sst>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9.0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>
      <alignment wrapText="false" vertical="top"/>
    </xf>
    <xf numFmtId="0" fontId="2" fillId="0" borderId="0" xfId="0" applyFont="true">
      <alignment wrapText="true" vertical="top"/>
    </xf>
    <xf numFmtId="0" fontId="3" fillId="0" borderId="0" xfId="0" applyFont="true">
      <alignment wrapText="true" vertical="top"/>
    </xf>
    <xf numFmtId="0" fontId="4" fillId="3" borderId="4" xfId="0" applyFont="true" applyFill="true" applyBorder="true">
      <alignment wrapText="true" vertical="top"/>
    </xf>
    <xf numFmtId="0" fontId="5" fillId="0" borderId="4" xfId="0" applyFont="true" applyBorder="true">
      <alignment wrapText="true" vertical="top"/>
    </xf>
    <xf numFmtId="0" fontId="6" fillId="5" borderId="4" xfId="0" applyFont="true" applyFill="true" applyBorder="true">
      <alignment wrapText="true" vertical="top"/>
    </xf>
    <xf numFmtId="0" fontId="7" fillId="0" borderId="4" xfId="0" applyFont="true" applyBorder="true">
      <alignment wrapText="false" vertical="top"/>
    </xf>
    <xf numFmtId="9" fontId="8" fillId="0" borderId="4" xfId="0" applyFont="true" applyBorder="true" applyNumberFormat="true">
      <alignment wrapText="false" vertical="top"/>
    </xf>
    <xf numFmtId="0" fontId="9" fillId="3" borderId="4" xfId="0" applyFont="true" applyFill="true" applyBorder="true">
      <alignment wrapText="false" vertical="top"/>
    </xf>
    <xf numFmtId="0" fontId="10" fillId="0" borderId="0" xfId="0" applyFont="true">
      <alignment wrapText="false" vertical="top"/>
    </xf>
  </cellXfs>
  <dxfs count="2">
    <dxf>
      <fill>
        <patternFill>
          <bgColor indexed="42"/>
        </patternFill>
      </fill>
    </dxf>
    <dxf>
      <fill>
        <patternFill>
          <bgColor indexed="45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customWidth="true" width="28.0" collapsed="false"/>
    <col min="2" max="2" customWidth="true" width="110.0" collapsed="false"/>
  </cols>
  <sheetData>
    <row r="1">
      <c r="A1" t="s" s="1">
        <v>0</v>
      </c>
    </row>
    <row r="3">
      <c r="A3" t="s" s="3">
        <v>1</v>
      </c>
      <c r="B3" t="s" s="2">
        <v>2</v>
      </c>
    </row>
    <row r="4">
      <c r="A4" t="s" s="3">
        <v>3</v>
      </c>
      <c r="B4" t="s" s="2">
        <v>4</v>
      </c>
    </row>
    <row r="5">
      <c r="A5" t="s" s="3">
        <v>5</v>
      </c>
      <c r="B5" t="s" s="2">
        <v>6</v>
      </c>
    </row>
    <row r="6">
      <c r="A6" t="s" s="3">
        <v>7</v>
      </c>
      <c r="B6" t="s" s="2">
        <v>8</v>
      </c>
    </row>
    <row r="7">
      <c r="A7" t="s" s="3">
        <v>9</v>
      </c>
      <c r="B7" t="s" s="2">
        <v>10</v>
      </c>
    </row>
    <row r="8">
      <c r="A8" t="s" s="3">
        <v>11</v>
      </c>
      <c r="B8" t="s" s="2">
        <v>12</v>
      </c>
    </row>
    <row r="9">
      <c r="A9" t="s" s="3">
        <v>13</v>
      </c>
      <c r="B9" t="s" s="2">
        <v>14</v>
      </c>
    </row>
    <row r="10">
      <c r="A10" t="s" s="3">
        <v>15</v>
      </c>
      <c r="B10" t="s" s="2">
        <v>16</v>
      </c>
    </row>
    <row r="11">
      <c r="A11" t="s" s="3">
        <v>17</v>
      </c>
      <c r="B11" t="s" s="2">
        <v>18</v>
      </c>
    </row>
    <row r="12">
      <c r="A12" t="s" s="3">
        <v>19</v>
      </c>
      <c r="B12" t="s" s="2">
        <v>20</v>
      </c>
    </row>
    <row r="14">
      <c r="A14" t="s" s="3">
        <v>21</v>
      </c>
    </row>
    <row r="15">
      <c r="A15" t="s" s="4">
        <v>22</v>
      </c>
      <c r="B15" t="s" s="6">
        <v>23</v>
      </c>
    </row>
    <row r="16">
      <c r="A16" t="s" s="4">
        <v>24</v>
      </c>
      <c r="B16" t="s" s="6">
        <v>25</v>
      </c>
    </row>
    <row r="17">
      <c r="A17" t="s" s="4">
        <v>26</v>
      </c>
      <c r="B17" t="s" s="6">
        <v>27</v>
      </c>
    </row>
    <row r="18">
      <c r="A18" t="s" s="4">
        <v>28</v>
      </c>
      <c r="B18" t="s" s="6">
        <v>29</v>
      </c>
    </row>
    <row r="19">
      <c r="A19" t="s" s="4">
        <v>30</v>
      </c>
      <c r="B19" t="s" s="6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fitToPage="true"/>
  </sheetPr>
  <dimension ref="A1:O63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customWidth="true" width="6.0" collapsed="false"/>
    <col min="2" max="2" customWidth="true" width="16.0" collapsed="false"/>
    <col min="3" max="3" customWidth="true" width="10.0" collapsed="false"/>
    <col min="4" max="4" customWidth="true" width="8.0" collapsed="false"/>
    <col min="5" max="5" customWidth="true" width="30.0" collapsed="false"/>
    <col min="6" max="6" customWidth="true" width="38.0" collapsed="false"/>
    <col min="7" max="7" customWidth="true" width="50.0" collapsed="false"/>
    <col min="8" max="8" customWidth="true" width="50.0" collapsed="false"/>
    <col min="9" max="9" customWidth="true" width="40.0" collapsed="false"/>
    <col min="10" max="10" customWidth="true" width="32.0" collapsed="false"/>
    <col min="11" max="11" customWidth="true" width="40.0" collapsed="false"/>
    <col min="12" max="12" customWidth="true" width="12.0" collapsed="false"/>
    <col min="13" max="13" customWidth="true" width="14.0" collapsed="false"/>
    <col min="14" max="14" customWidth="true" width="12.0" collapsed="false"/>
    <col min="15" max="15" customWidth="true" width="34.0" collapsed="false"/>
  </cols>
  <sheetData>
    <row r="1">
      <c r="A1" t="s" s="4">
        <v>32</v>
      </c>
      <c r="B1" t="s" s="4">
        <v>33</v>
      </c>
      <c r="C1" t="s" s="4">
        <v>34</v>
      </c>
      <c r="D1" t="s" s="4">
        <v>35</v>
      </c>
      <c r="E1" t="s" s="4">
        <v>36</v>
      </c>
      <c r="F1" t="s" s="4">
        <v>37</v>
      </c>
      <c r="G1" t="s" s="4">
        <v>38</v>
      </c>
      <c r="H1" t="s" s="4">
        <v>39</v>
      </c>
      <c r="I1" t="s" s="4">
        <v>40</v>
      </c>
      <c r="J1" t="s" s="4">
        <v>41</v>
      </c>
      <c r="K1" t="s" s="4">
        <v>22</v>
      </c>
      <c r="L1" t="s" s="4">
        <v>24</v>
      </c>
      <c r="M1" t="s" s="4">
        <v>26</v>
      </c>
      <c r="N1" t="s" s="4">
        <v>28</v>
      </c>
      <c r="O1" t="s" s="4">
        <v>30</v>
      </c>
    </row>
    <row r="2">
      <c r="A2" t="s" s="7">
        <v>42</v>
      </c>
      <c r="B2" t="s" s="5">
        <v>43</v>
      </c>
      <c r="C2" t="s" s="5">
        <v>44</v>
      </c>
      <c r="D2" t="s" s="5">
        <v>45</v>
      </c>
      <c r="E2" t="s" s="5">
        <v>46</v>
      </c>
      <c r="F2" t="s" s="5">
        <v>47</v>
      </c>
      <c r="G2" t="s" s="5">
        <v>48</v>
      </c>
      <c r="H2" t="s" s="5">
        <v>49</v>
      </c>
      <c r="I2" t="s" s="5">
        <v>50</v>
      </c>
      <c r="J2" t="s" s="5">
        <v>51</v>
      </c>
      <c r="K2" t="s" s="6">
        <v>578</v>
      </c>
      <c r="L2" t="s" s="6">
        <v>25</v>
      </c>
      <c r="M2" t="s" s="6">
        <v>579</v>
      </c>
      <c r="N2" t="s" s="6">
        <v>580</v>
      </c>
      <c r="O2" t="s" s="6">
        <v>581</v>
      </c>
    </row>
    <row r="3">
      <c r="A3" t="s" s="7">
        <v>54</v>
      </c>
      <c r="B3" t="s" s="5">
        <v>43</v>
      </c>
      <c r="C3" t="s" s="5">
        <v>55</v>
      </c>
      <c r="D3" t="s" s="5">
        <v>45</v>
      </c>
      <c r="E3" t="s" s="5">
        <v>56</v>
      </c>
      <c r="F3" t="s" s="5">
        <v>57</v>
      </c>
      <c r="G3" t="s" s="5">
        <v>58</v>
      </c>
      <c r="H3" t="s" s="5">
        <v>59</v>
      </c>
      <c r="I3" t="s" s="5">
        <v>60</v>
      </c>
      <c r="J3" t="s" s="5">
        <v>61</v>
      </c>
      <c r="K3" t="s" s="6">
        <v>582</v>
      </c>
      <c r="L3" t="s" s="6">
        <v>25</v>
      </c>
      <c r="M3" t="s" s="6">
        <v>579</v>
      </c>
      <c r="N3" t="s" s="6">
        <v>580</v>
      </c>
      <c r="O3" t="s" s="6">
        <v>583</v>
      </c>
    </row>
    <row r="4">
      <c r="A4" t="s" s="7">
        <v>62</v>
      </c>
      <c r="B4" t="s" s="5">
        <v>43</v>
      </c>
      <c r="C4" t="s" s="5">
        <v>63</v>
      </c>
      <c r="D4" t="s" s="5">
        <v>45</v>
      </c>
      <c r="E4" t="s" s="5">
        <v>64</v>
      </c>
      <c r="F4" t="s" s="5">
        <v>65</v>
      </c>
      <c r="G4" t="s" s="5">
        <v>66</v>
      </c>
      <c r="H4" t="s" s="5">
        <v>67</v>
      </c>
      <c r="I4" t="s" s="5">
        <v>68</v>
      </c>
      <c r="J4" t="s" s="5">
        <v>69</v>
      </c>
      <c r="K4" t="s" s="6">
        <v>584</v>
      </c>
      <c r="L4" t="s" s="6">
        <v>25</v>
      </c>
      <c r="M4" t="s" s="6">
        <v>579</v>
      </c>
      <c r="N4" t="s" s="6">
        <v>580</v>
      </c>
      <c r="O4" t="s" s="6">
        <v>581</v>
      </c>
    </row>
    <row r="5">
      <c r="A5" t="s" s="7">
        <v>70</v>
      </c>
      <c r="B5" t="s" s="5">
        <v>43</v>
      </c>
      <c r="C5" t="s" s="5">
        <v>71</v>
      </c>
      <c r="D5" t="s" s="5">
        <v>45</v>
      </c>
      <c r="E5" t="s" s="5">
        <v>72</v>
      </c>
      <c r="F5" t="s" s="5">
        <v>73</v>
      </c>
      <c r="G5" t="s" s="5">
        <v>74</v>
      </c>
      <c r="H5" t="s" s="5">
        <v>75</v>
      </c>
      <c r="I5" t="s" s="5">
        <v>76</v>
      </c>
      <c r="J5" t="s" s="5">
        <v>77</v>
      </c>
      <c r="K5" t="s" s="6">
        <v>585</v>
      </c>
      <c r="L5" t="s" s="6">
        <v>25</v>
      </c>
      <c r="M5" t="s" s="6">
        <v>579</v>
      </c>
      <c r="N5" t="s" s="6">
        <v>580</v>
      </c>
      <c r="O5" t="s" s="6">
        <v>586</v>
      </c>
    </row>
    <row r="6">
      <c r="A6" t="s" s="7">
        <v>78</v>
      </c>
      <c r="B6" t="s" s="5">
        <v>43</v>
      </c>
      <c r="C6" t="s" s="5">
        <v>79</v>
      </c>
      <c r="D6" t="s" s="5">
        <v>45</v>
      </c>
      <c r="E6" t="s" s="5">
        <v>80</v>
      </c>
      <c r="F6" t="s" s="5">
        <v>81</v>
      </c>
      <c r="G6" t="s" s="5">
        <v>82</v>
      </c>
      <c r="H6" t="s" s="5">
        <v>83</v>
      </c>
      <c r="I6" t="s" s="5">
        <v>84</v>
      </c>
      <c r="J6" t="s" s="5">
        <v>85</v>
      </c>
      <c r="K6" t="s" s="6">
        <v>587</v>
      </c>
      <c r="L6" t="s" s="6">
        <v>25</v>
      </c>
      <c r="M6" t="s" s="6">
        <v>579</v>
      </c>
      <c r="N6" t="s" s="6">
        <v>580</v>
      </c>
      <c r="O6" t="s" s="6">
        <v>586</v>
      </c>
    </row>
    <row r="7">
      <c r="A7" t="s" s="7">
        <v>86</v>
      </c>
      <c r="B7" t="s" s="5">
        <v>43</v>
      </c>
      <c r="C7" t="s" s="5">
        <v>87</v>
      </c>
      <c r="D7" t="s" s="5">
        <v>45</v>
      </c>
      <c r="E7" t="s" s="5">
        <v>88</v>
      </c>
      <c r="F7" t="s" s="5">
        <v>89</v>
      </c>
      <c r="G7" t="s" s="5">
        <v>90</v>
      </c>
      <c r="H7" t="s" s="5">
        <v>91</v>
      </c>
      <c r="I7" t="s" s="5">
        <v>92</v>
      </c>
      <c r="J7" t="s" s="5">
        <v>93</v>
      </c>
      <c r="K7" t="s" s="6">
        <v>588</v>
      </c>
      <c r="L7" t="s" s="6">
        <v>25</v>
      </c>
      <c r="M7" t="s" s="6">
        <v>579</v>
      </c>
      <c r="N7" t="s" s="6">
        <v>580</v>
      </c>
      <c r="O7" t="s" s="6">
        <v>589</v>
      </c>
    </row>
    <row r="8">
      <c r="A8" t="s" s="7">
        <v>94</v>
      </c>
      <c r="B8" t="s" s="5">
        <v>43</v>
      </c>
      <c r="C8" t="s" s="5">
        <v>95</v>
      </c>
      <c r="D8" t="s" s="5">
        <v>96</v>
      </c>
      <c r="E8" t="s" s="5">
        <v>97</v>
      </c>
      <c r="F8" t="s" s="5">
        <v>98</v>
      </c>
      <c r="G8" t="s" s="5">
        <v>99</v>
      </c>
      <c r="H8" t="s" s="5">
        <v>100</v>
      </c>
      <c r="I8" t="s" s="5">
        <v>101</v>
      </c>
      <c r="J8" t="s" s="5">
        <v>102</v>
      </c>
      <c r="K8" t="s" s="6">
        <v>590</v>
      </c>
      <c r="L8" t="s" s="6">
        <v>25</v>
      </c>
      <c r="M8" t="s" s="6">
        <v>579</v>
      </c>
      <c r="N8" t="s" s="6">
        <v>580</v>
      </c>
      <c r="O8" t="s" s="6">
        <v>581</v>
      </c>
    </row>
    <row r="9">
      <c r="A9" t="s" s="7">
        <v>103</v>
      </c>
      <c r="B9" t="s" s="5">
        <v>43</v>
      </c>
      <c r="C9" t="s" s="5">
        <v>104</v>
      </c>
      <c r="D9" t="s" s="5">
        <v>45</v>
      </c>
      <c r="E9" t="s" s="5">
        <v>105</v>
      </c>
      <c r="F9" t="s" s="5">
        <v>106</v>
      </c>
      <c r="G9" t="s" s="5">
        <v>107</v>
      </c>
      <c r="H9" t="s" s="5">
        <v>108</v>
      </c>
      <c r="I9" t="s" s="5">
        <v>109</v>
      </c>
      <c r="J9" t="s" s="5">
        <v>110</v>
      </c>
      <c r="K9" t="s" s="6">
        <v>591</v>
      </c>
      <c r="L9" t="s" s="6">
        <v>25</v>
      </c>
      <c r="M9" t="s" s="6">
        <v>579</v>
      </c>
      <c r="N9" t="s" s="6">
        <v>580</v>
      </c>
      <c r="O9" t="s" s="6">
        <v>581</v>
      </c>
    </row>
    <row r="10">
      <c r="A10" t="s" s="7">
        <v>111</v>
      </c>
      <c r="B10" t="s" s="5">
        <v>43</v>
      </c>
      <c r="C10" t="s" s="5">
        <v>112</v>
      </c>
      <c r="D10" t="s" s="5">
        <v>45</v>
      </c>
      <c r="E10" t="s" s="5">
        <v>113</v>
      </c>
      <c r="F10" t="s" s="5">
        <v>114</v>
      </c>
      <c r="G10" t="s" s="5">
        <v>115</v>
      </c>
      <c r="H10" t="s" s="5">
        <v>116</v>
      </c>
      <c r="I10" t="s" s="5">
        <v>117</v>
      </c>
      <c r="J10" t="s" s="5">
        <v>118</v>
      </c>
      <c r="K10" t="s" s="6">
        <v>592</v>
      </c>
      <c r="L10" t="s" s="6">
        <v>25</v>
      </c>
      <c r="M10" t="s" s="6">
        <v>579</v>
      </c>
      <c r="N10" t="s" s="6">
        <v>580</v>
      </c>
      <c r="O10" t="s" s="6">
        <v>581</v>
      </c>
    </row>
    <row r="11">
      <c r="A11" t="s" s="7">
        <v>119</v>
      </c>
      <c r="B11" t="s" s="5">
        <v>43</v>
      </c>
      <c r="C11" t="s" s="5">
        <v>120</v>
      </c>
      <c r="D11" t="s" s="5">
        <v>45</v>
      </c>
      <c r="E11" t="s" s="5">
        <v>121</v>
      </c>
      <c r="F11" t="s" s="5">
        <v>122</v>
      </c>
      <c r="G11" t="s" s="5">
        <v>123</v>
      </c>
      <c r="H11" t="s" s="5">
        <v>124</v>
      </c>
      <c r="I11" t="s" s="5">
        <v>125</v>
      </c>
      <c r="J11" t="s" s="5">
        <v>126</v>
      </c>
      <c r="K11" t="s" s="6">
        <v>593</v>
      </c>
      <c r="L11" t="s" s="6">
        <v>545</v>
      </c>
      <c r="M11" t="s" s="6">
        <v>579</v>
      </c>
      <c r="N11" t="s" s="6">
        <v>580</v>
      </c>
      <c r="O11" t="s" s="6">
        <v>594</v>
      </c>
    </row>
    <row r="12">
      <c r="A12" t="s" s="7">
        <v>127</v>
      </c>
      <c r="B12" t="s" s="5">
        <v>43</v>
      </c>
      <c r="C12" t="s" s="5">
        <v>128</v>
      </c>
      <c r="D12" t="s" s="5">
        <v>45</v>
      </c>
      <c r="E12" t="s" s="5">
        <v>129</v>
      </c>
      <c r="F12" t="s" s="5">
        <v>130</v>
      </c>
      <c r="G12" t="s" s="5">
        <v>131</v>
      </c>
      <c r="H12" t="s" s="5">
        <v>132</v>
      </c>
      <c r="I12" t="s" s="5">
        <v>133</v>
      </c>
      <c r="J12" t="s" s="5">
        <v>134</v>
      </c>
      <c r="K12" t="s" s="6">
        <v>595</v>
      </c>
      <c r="L12" t="s" s="6">
        <v>25</v>
      </c>
      <c r="M12" t="s" s="6">
        <v>579</v>
      </c>
      <c r="N12" t="s" s="6">
        <v>580</v>
      </c>
      <c r="O12" t="s" s="6">
        <v>583</v>
      </c>
    </row>
    <row r="13">
      <c r="A13" t="s" s="7">
        <v>135</v>
      </c>
      <c r="B13" t="s" s="5">
        <v>136</v>
      </c>
      <c r="C13" t="s" s="5">
        <v>137</v>
      </c>
      <c r="D13" t="s" s="5">
        <v>96</v>
      </c>
      <c r="E13" t="s" s="5">
        <v>138</v>
      </c>
      <c r="F13" t="s" s="5">
        <v>139</v>
      </c>
      <c r="G13" t="s" s="5">
        <v>140</v>
      </c>
      <c r="H13" t="s" s="5">
        <v>141</v>
      </c>
      <c r="I13" t="s" s="5">
        <v>142</v>
      </c>
      <c r="J13" t="s" s="5">
        <v>143</v>
      </c>
      <c r="K13" t="s" s="6">
        <v>596</v>
      </c>
      <c r="L13" t="s" s="6">
        <v>545</v>
      </c>
      <c r="M13" t="s" s="6">
        <v>579</v>
      </c>
      <c r="N13" t="s" s="6">
        <v>580</v>
      </c>
      <c r="O13" t="s" s="6">
        <v>597</v>
      </c>
    </row>
    <row r="14">
      <c r="A14" t="s" s="7">
        <v>144</v>
      </c>
      <c r="B14" t="s" s="5">
        <v>43</v>
      </c>
      <c r="C14" t="s" s="5">
        <v>145</v>
      </c>
      <c r="D14" t="s" s="5">
        <v>45</v>
      </c>
      <c r="E14" t="s" s="5">
        <v>146</v>
      </c>
      <c r="F14" t="s" s="5">
        <v>147</v>
      </c>
      <c r="G14" t="s" s="5">
        <v>148</v>
      </c>
      <c r="H14" t="s" s="5">
        <v>149</v>
      </c>
      <c r="I14" t="s" s="5">
        <v>150</v>
      </c>
      <c r="J14" t="s" s="5">
        <v>151</v>
      </c>
      <c r="K14" t="s" s="6">
        <v>598</v>
      </c>
      <c r="L14" t="s" s="6">
        <v>25</v>
      </c>
      <c r="M14" t="s" s="6">
        <v>579</v>
      </c>
      <c r="N14" t="s" s="6">
        <v>580</v>
      </c>
      <c r="O14" t="s" s="6">
        <v>583</v>
      </c>
    </row>
    <row r="15">
      <c r="A15" t="s" s="7">
        <v>152</v>
      </c>
      <c r="B15" t="s" s="5">
        <v>43</v>
      </c>
      <c r="C15" t="s" s="5">
        <v>153</v>
      </c>
      <c r="D15" t="s" s="5">
        <v>96</v>
      </c>
      <c r="E15" t="s" s="5">
        <v>154</v>
      </c>
      <c r="F15" t="s" s="5">
        <v>155</v>
      </c>
      <c r="G15" t="s" s="5">
        <v>156</v>
      </c>
      <c r="H15" t="s" s="5">
        <v>157</v>
      </c>
      <c r="I15" t="s" s="5">
        <v>158</v>
      </c>
      <c r="J15" t="s" s="5">
        <v>159</v>
      </c>
      <c r="K15" t="s" s="6">
        <v>599</v>
      </c>
      <c r="L15" t="s" s="6">
        <v>25</v>
      </c>
      <c r="M15" t="s" s="6">
        <v>579</v>
      </c>
      <c r="N15" t="s" s="6">
        <v>580</v>
      </c>
      <c r="O15" t="s" s="6">
        <v>583</v>
      </c>
    </row>
    <row r="16">
      <c r="A16" t="s" s="7">
        <v>160</v>
      </c>
      <c r="B16" t="s" s="5">
        <v>161</v>
      </c>
      <c r="C16" t="s" s="5">
        <v>162</v>
      </c>
      <c r="D16" t="s" s="5">
        <v>45</v>
      </c>
      <c r="E16" t="s" s="5">
        <v>163</v>
      </c>
      <c r="F16" t="s" s="5">
        <v>164</v>
      </c>
      <c r="G16" t="s" s="5">
        <v>165</v>
      </c>
      <c r="H16" t="s" s="5">
        <v>166</v>
      </c>
      <c r="I16" t="s" s="5">
        <v>167</v>
      </c>
      <c r="J16" t="s" s="5">
        <v>168</v>
      </c>
      <c r="K16" t="s" s="6">
        <v>600</v>
      </c>
      <c r="L16" t="s" s="6">
        <v>25</v>
      </c>
      <c r="M16" t="s" s="6">
        <v>579</v>
      </c>
      <c r="N16" t="s" s="6">
        <v>580</v>
      </c>
      <c r="O16" t="s" s="6">
        <v>601</v>
      </c>
    </row>
    <row r="17">
      <c r="A17" t="s" s="7">
        <v>169</v>
      </c>
      <c r="B17" t="s" s="5">
        <v>161</v>
      </c>
      <c r="C17" t="s" s="5">
        <v>170</v>
      </c>
      <c r="D17" t="s" s="5">
        <v>45</v>
      </c>
      <c r="E17" t="s" s="5">
        <v>171</v>
      </c>
      <c r="F17" t="s" s="5">
        <v>172</v>
      </c>
      <c r="G17" t="s" s="5">
        <v>173</v>
      </c>
      <c r="H17" t="s" s="5">
        <v>174</v>
      </c>
      <c r="I17" t="s" s="5">
        <v>175</v>
      </c>
      <c r="J17" t="s" s="5">
        <v>176</v>
      </c>
      <c r="K17" t="s" s="6">
        <v>602</v>
      </c>
      <c r="L17" t="s" s="6">
        <v>25</v>
      </c>
      <c r="M17" t="s" s="6">
        <v>579</v>
      </c>
      <c r="N17" t="s" s="6">
        <v>580</v>
      </c>
      <c r="O17" t="s" s="6">
        <v>601</v>
      </c>
    </row>
    <row r="18">
      <c r="A18" t="s" s="7">
        <v>177</v>
      </c>
      <c r="B18" t="s" s="5">
        <v>161</v>
      </c>
      <c r="C18" t="s" s="5">
        <v>178</v>
      </c>
      <c r="D18" t="s" s="5">
        <v>45</v>
      </c>
      <c r="E18" t="s" s="5">
        <v>179</v>
      </c>
      <c r="F18" t="s" s="5">
        <v>180</v>
      </c>
      <c r="G18" t="s" s="5">
        <v>181</v>
      </c>
      <c r="H18" t="s" s="5">
        <v>182</v>
      </c>
      <c r="I18" t="s" s="5">
        <v>183</v>
      </c>
      <c r="J18" t="s" s="5">
        <v>184</v>
      </c>
      <c r="K18" t="s" s="6">
        <v>603</v>
      </c>
      <c r="L18" t="s" s="6">
        <v>25</v>
      </c>
      <c r="M18" t="s" s="6">
        <v>579</v>
      </c>
      <c r="N18" t="s" s="6">
        <v>580</v>
      </c>
      <c r="O18" t="s" s="6">
        <v>601</v>
      </c>
    </row>
    <row r="19">
      <c r="A19" t="s" s="7">
        <v>185</v>
      </c>
      <c r="B19" t="s" s="5">
        <v>161</v>
      </c>
      <c r="C19" t="s" s="5">
        <v>186</v>
      </c>
      <c r="D19" t="s" s="5">
        <v>45</v>
      </c>
      <c r="E19" t="s" s="5">
        <v>187</v>
      </c>
      <c r="F19" t="s" s="5">
        <v>188</v>
      </c>
      <c r="G19" t="s" s="5">
        <v>189</v>
      </c>
      <c r="H19" t="s" s="5">
        <v>190</v>
      </c>
      <c r="I19" t="s" s="5">
        <v>191</v>
      </c>
      <c r="J19" t="s" s="5">
        <v>192</v>
      </c>
      <c r="K19" t="s" s="6">
        <v>604</v>
      </c>
      <c r="L19" t="s" s="6">
        <v>25</v>
      </c>
      <c r="M19" t="s" s="6">
        <v>579</v>
      </c>
      <c r="N19" t="s" s="6">
        <v>580</v>
      </c>
      <c r="O19" t="s" s="6">
        <v>605</v>
      </c>
    </row>
    <row r="20">
      <c r="A20" t="s" s="7">
        <v>193</v>
      </c>
      <c r="B20" t="s" s="5">
        <v>161</v>
      </c>
      <c r="C20" t="s" s="5">
        <v>194</v>
      </c>
      <c r="D20" t="s" s="5">
        <v>45</v>
      </c>
      <c r="E20" t="s" s="5">
        <v>195</v>
      </c>
      <c r="F20" t="s" s="5">
        <v>196</v>
      </c>
      <c r="G20" t="s" s="5">
        <v>197</v>
      </c>
      <c r="H20" t="s" s="5">
        <v>198</v>
      </c>
      <c r="I20" t="s" s="5">
        <v>199</v>
      </c>
      <c r="J20" t="s" s="5">
        <v>200</v>
      </c>
      <c r="K20" t="s" s="6">
        <v>606</v>
      </c>
      <c r="L20" t="s" s="6">
        <v>25</v>
      </c>
      <c r="M20" t="s" s="6">
        <v>579</v>
      </c>
      <c r="N20" t="s" s="6">
        <v>580</v>
      </c>
      <c r="O20" t="s" s="6">
        <v>607</v>
      </c>
    </row>
    <row r="21">
      <c r="A21" t="s" s="7">
        <v>201</v>
      </c>
      <c r="B21" t="s" s="5">
        <v>161</v>
      </c>
      <c r="C21" t="s" s="5">
        <v>202</v>
      </c>
      <c r="D21" t="s" s="5">
        <v>45</v>
      </c>
      <c r="E21" t="s" s="5">
        <v>203</v>
      </c>
      <c r="F21" t="s" s="5">
        <v>204</v>
      </c>
      <c r="G21" t="s" s="5">
        <v>205</v>
      </c>
      <c r="H21" t="s" s="5">
        <v>206</v>
      </c>
      <c r="I21" t="s" s="5">
        <v>207</v>
      </c>
      <c r="J21" t="s" s="5">
        <v>208</v>
      </c>
      <c r="K21" t="s" s="6">
        <v>608</v>
      </c>
      <c r="L21" t="s" s="6">
        <v>25</v>
      </c>
      <c r="M21" t="s" s="6">
        <v>579</v>
      </c>
      <c r="N21" t="s" s="6">
        <v>580</v>
      </c>
      <c r="O21" t="s" s="6">
        <v>607</v>
      </c>
    </row>
    <row r="22">
      <c r="A22" t="s" s="7">
        <v>209</v>
      </c>
      <c r="B22" t="s" s="5">
        <v>161</v>
      </c>
      <c r="C22" t="s" s="5">
        <v>210</v>
      </c>
      <c r="D22" t="s" s="5">
        <v>45</v>
      </c>
      <c r="E22" t="s" s="5">
        <v>211</v>
      </c>
      <c r="F22" t="s" s="5">
        <v>212</v>
      </c>
      <c r="G22" t="s" s="5">
        <v>213</v>
      </c>
      <c r="H22" t="s" s="5">
        <v>214</v>
      </c>
      <c r="I22" t="s" s="5">
        <v>215</v>
      </c>
      <c r="J22" t="s" s="5">
        <v>216</v>
      </c>
      <c r="K22" t="s" s="6">
        <v>609</v>
      </c>
      <c r="L22" t="s" s="6">
        <v>25</v>
      </c>
      <c r="M22" t="s" s="6">
        <v>579</v>
      </c>
      <c r="N22" t="s" s="6">
        <v>580</v>
      </c>
      <c r="O22" t="s" s="6">
        <v>610</v>
      </c>
    </row>
    <row r="23">
      <c r="A23" t="s" s="7">
        <v>217</v>
      </c>
      <c r="B23" t="s" s="5">
        <v>161</v>
      </c>
      <c r="C23" t="s" s="5">
        <v>218</v>
      </c>
      <c r="D23" t="s" s="5">
        <v>45</v>
      </c>
      <c r="E23" t="s" s="5">
        <v>219</v>
      </c>
      <c r="F23" t="s" s="5">
        <v>220</v>
      </c>
      <c r="G23" t="s" s="5">
        <v>221</v>
      </c>
      <c r="H23" t="s" s="5">
        <v>222</v>
      </c>
      <c r="I23" t="s" s="5">
        <v>223</v>
      </c>
      <c r="J23" t="s" s="5">
        <v>224</v>
      </c>
      <c r="K23" t="s" s="6">
        <v>611</v>
      </c>
      <c r="L23" t="s" s="6">
        <v>25</v>
      </c>
      <c r="M23" t="s" s="6">
        <v>579</v>
      </c>
      <c r="N23" t="s" s="6">
        <v>580</v>
      </c>
      <c r="O23" t="s" s="6">
        <v>610</v>
      </c>
    </row>
    <row r="24">
      <c r="A24" t="s" s="7">
        <v>225</v>
      </c>
      <c r="B24" t="s" s="5">
        <v>161</v>
      </c>
      <c r="C24" t="s" s="5">
        <v>226</v>
      </c>
      <c r="D24" t="s" s="5">
        <v>45</v>
      </c>
      <c r="E24" t="s" s="5">
        <v>227</v>
      </c>
      <c r="F24" t="s" s="5">
        <v>228</v>
      </c>
      <c r="G24" t="s" s="5">
        <v>229</v>
      </c>
      <c r="H24" t="s" s="5">
        <v>230</v>
      </c>
      <c r="I24" t="s" s="5">
        <v>231</v>
      </c>
      <c r="J24" t="s" s="5">
        <v>232</v>
      </c>
      <c r="K24" t="s" s="6">
        <v>612</v>
      </c>
      <c r="L24" t="s" s="6">
        <v>25</v>
      </c>
      <c r="M24" t="s" s="6">
        <v>579</v>
      </c>
      <c r="N24" t="s" s="6">
        <v>580</v>
      </c>
      <c r="O24" t="s" s="6">
        <v>610</v>
      </c>
    </row>
    <row r="25">
      <c r="A25" t="s" s="7">
        <v>233</v>
      </c>
      <c r="B25" t="s" s="5">
        <v>161</v>
      </c>
      <c r="C25" t="s" s="5">
        <v>234</v>
      </c>
      <c r="D25" t="s" s="5">
        <v>45</v>
      </c>
      <c r="E25" t="s" s="5">
        <v>235</v>
      </c>
      <c r="F25" t="s" s="5">
        <v>236</v>
      </c>
      <c r="G25" t="s" s="5">
        <v>237</v>
      </c>
      <c r="H25" t="s" s="5">
        <v>238</v>
      </c>
      <c r="I25" t="s" s="5">
        <v>239</v>
      </c>
      <c r="J25" t="s" s="5">
        <v>240</v>
      </c>
      <c r="K25" t="s" s="6">
        <v>613</v>
      </c>
      <c r="L25" t="s" s="6">
        <v>25</v>
      </c>
      <c r="M25" t="s" s="6">
        <v>579</v>
      </c>
      <c r="N25" t="s" s="6">
        <v>580</v>
      </c>
      <c r="O25" t="s" s="6">
        <v>614</v>
      </c>
    </row>
    <row r="26">
      <c r="A26" t="s" s="7">
        <v>241</v>
      </c>
      <c r="B26" t="s" s="5">
        <v>161</v>
      </c>
      <c r="C26" t="s" s="5">
        <v>242</v>
      </c>
      <c r="D26" t="s" s="5">
        <v>45</v>
      </c>
      <c r="E26" t="s" s="5">
        <v>243</v>
      </c>
      <c r="F26" t="s" s="5">
        <v>244</v>
      </c>
      <c r="G26" t="s" s="5">
        <v>245</v>
      </c>
      <c r="H26" t="s" s="5">
        <v>246</v>
      </c>
      <c r="I26" t="s" s="5">
        <v>247</v>
      </c>
      <c r="J26" t="s" s="5">
        <v>248</v>
      </c>
      <c r="K26" t="s" s="6">
        <v>615</v>
      </c>
      <c r="L26" t="s" s="6">
        <v>25</v>
      </c>
      <c r="M26" t="s" s="6">
        <v>579</v>
      </c>
      <c r="N26" t="s" s="6">
        <v>580</v>
      </c>
      <c r="O26" t="s" s="6">
        <v>610</v>
      </c>
    </row>
    <row r="27">
      <c r="A27" t="s" s="7">
        <v>249</v>
      </c>
      <c r="B27" t="s" s="5">
        <v>161</v>
      </c>
      <c r="C27" t="s" s="5">
        <v>250</v>
      </c>
      <c r="D27" t="s" s="5">
        <v>45</v>
      </c>
      <c r="E27" t="s" s="5">
        <v>251</v>
      </c>
      <c r="F27" t="s" s="5">
        <v>252</v>
      </c>
      <c r="G27" t="s" s="5">
        <v>253</v>
      </c>
      <c r="H27" t="s" s="5">
        <v>254</v>
      </c>
      <c r="I27" t="s" s="5">
        <v>255</v>
      </c>
      <c r="J27" t="s" s="5">
        <v>256</v>
      </c>
      <c r="K27" t="s" s="6">
        <v>616</v>
      </c>
      <c r="L27" t="s" s="6">
        <v>25</v>
      </c>
      <c r="M27" t="s" s="6">
        <v>579</v>
      </c>
      <c r="N27" t="s" s="6">
        <v>580</v>
      </c>
      <c r="O27" t="s" s="6">
        <v>610</v>
      </c>
    </row>
    <row r="28">
      <c r="A28" t="s" s="7">
        <v>257</v>
      </c>
      <c r="B28" t="s" s="5">
        <v>161</v>
      </c>
      <c r="C28" t="s" s="5">
        <v>258</v>
      </c>
      <c r="D28" t="s" s="5">
        <v>45</v>
      </c>
      <c r="E28" t="s" s="5">
        <v>259</v>
      </c>
      <c r="F28" t="s" s="5">
        <v>260</v>
      </c>
      <c r="G28" t="s" s="5">
        <v>261</v>
      </c>
      <c r="H28" t="s" s="5">
        <v>262</v>
      </c>
      <c r="I28" t="s" s="5">
        <v>263</v>
      </c>
      <c r="J28" t="s" s="5">
        <v>264</v>
      </c>
      <c r="K28" t="s" s="6">
        <v>617</v>
      </c>
      <c r="L28" t="s" s="6">
        <v>25</v>
      </c>
      <c r="M28" t="s" s="6">
        <v>579</v>
      </c>
      <c r="N28" t="s" s="6">
        <v>580</v>
      </c>
      <c r="O28" t="s" s="6">
        <v>607</v>
      </c>
    </row>
    <row r="29">
      <c r="A29" t="s" s="7">
        <v>265</v>
      </c>
      <c r="B29" t="s" s="5">
        <v>161</v>
      </c>
      <c r="C29" t="s" s="5">
        <v>266</v>
      </c>
      <c r="D29" t="s" s="5">
        <v>45</v>
      </c>
      <c r="E29" t="s" s="5">
        <v>267</v>
      </c>
      <c r="F29" t="s" s="5">
        <v>268</v>
      </c>
      <c r="G29" t="s" s="5">
        <v>269</v>
      </c>
      <c r="H29" t="s" s="5">
        <v>270</v>
      </c>
      <c r="I29" t="s" s="5">
        <v>271</v>
      </c>
      <c r="J29" t="s" s="5">
        <v>272</v>
      </c>
      <c r="K29" t="s" s="6">
        <v>618</v>
      </c>
      <c r="L29" t="s" s="6">
        <v>25</v>
      </c>
      <c r="M29" t="s" s="6">
        <v>579</v>
      </c>
      <c r="N29" t="s" s="6">
        <v>580</v>
      </c>
      <c r="O29" t="s" s="6">
        <v>607</v>
      </c>
    </row>
    <row r="30">
      <c r="A30" t="s" s="7">
        <v>273</v>
      </c>
      <c r="B30" t="s" s="5">
        <v>161</v>
      </c>
      <c r="C30" t="s" s="5">
        <v>274</v>
      </c>
      <c r="D30" t="s" s="5">
        <v>45</v>
      </c>
      <c r="E30" t="s" s="5">
        <v>275</v>
      </c>
      <c r="F30" t="s" s="5">
        <v>276</v>
      </c>
      <c r="G30" t="s" s="5">
        <v>277</v>
      </c>
      <c r="H30" t="s" s="5">
        <v>278</v>
      </c>
      <c r="I30" t="s" s="5">
        <v>279</v>
      </c>
      <c r="J30" t="s" s="5">
        <v>280</v>
      </c>
      <c r="K30" t="s" s="6">
        <v>619</v>
      </c>
      <c r="L30" t="s" s="6">
        <v>25</v>
      </c>
      <c r="M30" t="s" s="6">
        <v>579</v>
      </c>
      <c r="N30" t="s" s="6">
        <v>580</v>
      </c>
      <c r="O30" t="s" s="6">
        <v>607</v>
      </c>
    </row>
    <row r="31">
      <c r="A31" t="s" s="7">
        <v>281</v>
      </c>
      <c r="B31" t="s" s="5">
        <v>282</v>
      </c>
      <c r="C31" t="s" s="5">
        <v>283</v>
      </c>
      <c r="D31" t="s" s="5">
        <v>45</v>
      </c>
      <c r="E31" t="s" s="5">
        <v>284</v>
      </c>
      <c r="F31" t="s" s="5">
        <v>285</v>
      </c>
      <c r="G31" t="s" s="5">
        <v>286</v>
      </c>
      <c r="H31" t="s" s="5">
        <v>287</v>
      </c>
      <c r="I31" t="s" s="5">
        <v>288</v>
      </c>
      <c r="J31" t="s" s="5">
        <v>289</v>
      </c>
      <c r="K31" t="s" s="6">
        <v>620</v>
      </c>
      <c r="L31" t="s" s="6">
        <v>25</v>
      </c>
      <c r="M31" t="s" s="6">
        <v>579</v>
      </c>
      <c r="N31" t="s" s="6">
        <v>580</v>
      </c>
      <c r="O31" t="s" s="6">
        <v>621</v>
      </c>
    </row>
    <row r="32">
      <c r="A32" t="s" s="7">
        <v>290</v>
      </c>
      <c r="B32" t="s" s="5">
        <v>282</v>
      </c>
      <c r="C32" t="s" s="5">
        <v>291</v>
      </c>
      <c r="D32" t="s" s="5">
        <v>45</v>
      </c>
      <c r="E32" t="s" s="5">
        <v>292</v>
      </c>
      <c r="F32" t="s" s="5">
        <v>293</v>
      </c>
      <c r="G32" t="s" s="5">
        <v>294</v>
      </c>
      <c r="H32" t="s" s="5">
        <v>295</v>
      </c>
      <c r="I32" t="s" s="5">
        <v>296</v>
      </c>
      <c r="J32" t="s" s="5">
        <v>297</v>
      </c>
      <c r="K32" t="s" s="6">
        <v>622</v>
      </c>
      <c r="L32" t="s" s="6">
        <v>25</v>
      </c>
      <c r="M32" t="s" s="6">
        <v>579</v>
      </c>
      <c r="N32" t="s" s="6">
        <v>580</v>
      </c>
      <c r="O32" t="s" s="6">
        <v>621</v>
      </c>
    </row>
    <row r="33">
      <c r="A33" t="s" s="7">
        <v>298</v>
      </c>
      <c r="B33" t="s" s="5">
        <v>282</v>
      </c>
      <c r="C33" t="s" s="5">
        <v>299</v>
      </c>
      <c r="D33" t="s" s="5">
        <v>45</v>
      </c>
      <c r="E33" t="s" s="5">
        <v>300</v>
      </c>
      <c r="F33" t="s" s="5">
        <v>301</v>
      </c>
      <c r="G33" t="s" s="5">
        <v>302</v>
      </c>
      <c r="H33" t="s" s="5">
        <v>303</v>
      </c>
      <c r="I33" t="s" s="5">
        <v>304</v>
      </c>
      <c r="J33" t="s" s="5">
        <v>305</v>
      </c>
      <c r="K33" t="s" s="6">
        <v>623</v>
      </c>
      <c r="L33" t="s" s="6">
        <v>25</v>
      </c>
      <c r="M33" t="s" s="6">
        <v>579</v>
      </c>
      <c r="N33" t="s" s="6">
        <v>580</v>
      </c>
      <c r="O33" t="s" s="6">
        <v>624</v>
      </c>
    </row>
    <row r="34">
      <c r="A34" t="s" s="7">
        <v>306</v>
      </c>
      <c r="B34" t="s" s="5">
        <v>282</v>
      </c>
      <c r="C34" t="s" s="5">
        <v>307</v>
      </c>
      <c r="D34" t="s" s="5">
        <v>308</v>
      </c>
      <c r="E34" t="s" s="5">
        <v>309</v>
      </c>
      <c r="F34" t="s" s="5">
        <v>310</v>
      </c>
      <c r="G34" t="s" s="5">
        <v>311</v>
      </c>
      <c r="H34" t="s" s="5">
        <v>312</v>
      </c>
      <c r="I34" t="s" s="5">
        <v>313</v>
      </c>
      <c r="J34" t="s" s="5">
        <v>314</v>
      </c>
      <c r="K34" t="s" s="6">
        <v>625</v>
      </c>
      <c r="L34" t="s" s="6">
        <v>25</v>
      </c>
      <c r="M34" t="s" s="6">
        <v>579</v>
      </c>
      <c r="N34" t="s" s="6">
        <v>580</v>
      </c>
      <c r="O34" t="s" s="6">
        <v>624</v>
      </c>
    </row>
    <row r="35">
      <c r="A35" t="s" s="7">
        <v>315</v>
      </c>
      <c r="B35" t="s" s="5">
        <v>282</v>
      </c>
      <c r="C35" t="s" s="5">
        <v>316</v>
      </c>
      <c r="D35" t="s" s="5">
        <v>96</v>
      </c>
      <c r="E35" t="s" s="5">
        <v>317</v>
      </c>
      <c r="F35" t="s" s="5">
        <v>318</v>
      </c>
      <c r="G35" t="s" s="5">
        <v>319</v>
      </c>
      <c r="H35" t="s" s="5">
        <v>320</v>
      </c>
      <c r="I35" t="s" s="5">
        <v>321</v>
      </c>
      <c r="J35" t="s" s="5">
        <v>322</v>
      </c>
      <c r="K35" t="s" s="6">
        <v>626</v>
      </c>
      <c r="L35" t="s" s="6">
        <v>25</v>
      </c>
      <c r="M35" t="s" s="6">
        <v>579</v>
      </c>
      <c r="N35" t="s" s="6">
        <v>580</v>
      </c>
      <c r="O35" t="s" s="6">
        <v>621</v>
      </c>
    </row>
    <row r="36">
      <c r="A36" t="s" s="7">
        <v>323</v>
      </c>
      <c r="B36" t="s" s="5">
        <v>282</v>
      </c>
      <c r="C36" t="s" s="5">
        <v>324</v>
      </c>
      <c r="D36" t="s" s="5">
        <v>45</v>
      </c>
      <c r="E36" t="s" s="5">
        <v>325</v>
      </c>
      <c r="F36" t="s" s="5">
        <v>326</v>
      </c>
      <c r="G36" t="s" s="5">
        <v>327</v>
      </c>
      <c r="H36" t="s" s="5">
        <v>328</v>
      </c>
      <c r="I36" t="s" s="5">
        <v>329</v>
      </c>
      <c r="J36" t="s" s="5">
        <v>330</v>
      </c>
      <c r="K36" t="s" s="6">
        <v>627</v>
      </c>
      <c r="L36" t="s" s="6">
        <v>25</v>
      </c>
      <c r="M36" t="s" s="6">
        <v>579</v>
      </c>
      <c r="N36" t="s" s="6">
        <v>580</v>
      </c>
      <c r="O36" t="s" s="6">
        <v>628</v>
      </c>
    </row>
    <row r="37">
      <c r="A37" t="s" s="7">
        <v>331</v>
      </c>
      <c r="B37" t="s" s="5">
        <v>332</v>
      </c>
      <c r="C37" t="s" s="5">
        <v>333</v>
      </c>
      <c r="D37" t="s" s="5">
        <v>45</v>
      </c>
      <c r="E37" t="s" s="5">
        <v>334</v>
      </c>
      <c r="F37" t="s" s="5">
        <v>335</v>
      </c>
      <c r="G37" t="s" s="5">
        <v>336</v>
      </c>
      <c r="H37" t="s" s="5">
        <v>337</v>
      </c>
      <c r="I37" t="s" s="5">
        <v>338</v>
      </c>
      <c r="J37" t="s" s="5">
        <v>339</v>
      </c>
      <c r="K37" t="s" s="6">
        <v>629</v>
      </c>
      <c r="L37" t="s" s="6">
        <v>25</v>
      </c>
      <c r="M37" t="s" s="6">
        <v>579</v>
      </c>
      <c r="N37" t="s" s="6">
        <v>580</v>
      </c>
      <c r="O37" t="s" s="6">
        <v>630</v>
      </c>
    </row>
    <row r="38">
      <c r="A38" t="s" s="7">
        <v>340</v>
      </c>
      <c r="B38" t="s" s="5">
        <v>332</v>
      </c>
      <c r="C38" t="s" s="5">
        <v>341</v>
      </c>
      <c r="D38" t="s" s="5">
        <v>45</v>
      </c>
      <c r="E38" t="s" s="5">
        <v>342</v>
      </c>
      <c r="F38" t="s" s="5">
        <v>343</v>
      </c>
      <c r="G38" t="s" s="5">
        <v>344</v>
      </c>
      <c r="H38" t="s" s="5">
        <v>345</v>
      </c>
      <c r="I38" t="s" s="5">
        <v>346</v>
      </c>
      <c r="J38" t="s" s="5">
        <v>347</v>
      </c>
      <c r="K38" t="s" s="6">
        <v>631</v>
      </c>
      <c r="L38" t="s" s="6">
        <v>25</v>
      </c>
      <c r="M38" t="s" s="6">
        <v>579</v>
      </c>
      <c r="N38" t="s" s="6">
        <v>580</v>
      </c>
      <c r="O38" t="s" s="6">
        <v>632</v>
      </c>
    </row>
    <row r="39">
      <c r="A39" t="s" s="7">
        <v>348</v>
      </c>
      <c r="B39" t="s" s="5">
        <v>332</v>
      </c>
      <c r="C39" t="s" s="5">
        <v>349</v>
      </c>
      <c r="D39" t="s" s="5">
        <v>350</v>
      </c>
      <c r="E39" t="s" s="5">
        <v>351</v>
      </c>
      <c r="F39" t="s" s="5">
        <v>352</v>
      </c>
      <c r="G39" t="s" s="5">
        <v>353</v>
      </c>
      <c r="H39" t="s" s="5">
        <v>354</v>
      </c>
      <c r="I39" t="s" s="5">
        <v>355</v>
      </c>
      <c r="J39" t="s" s="5">
        <v>356</v>
      </c>
      <c r="K39" t="s" s="6">
        <v>633</v>
      </c>
      <c r="L39" t="s" s="6">
        <v>25</v>
      </c>
      <c r="M39" t="s" s="6">
        <v>579</v>
      </c>
      <c r="N39" t="s" s="6">
        <v>580</v>
      </c>
      <c r="O39" t="s" s="6">
        <v>630</v>
      </c>
    </row>
    <row r="40">
      <c r="A40" t="s" s="7">
        <v>357</v>
      </c>
      <c r="B40" t="s" s="5">
        <v>332</v>
      </c>
      <c r="C40" t="s" s="5">
        <v>358</v>
      </c>
      <c r="D40" t="s" s="5">
        <v>45</v>
      </c>
      <c r="E40" t="s" s="5">
        <v>359</v>
      </c>
      <c r="F40" t="s" s="5">
        <v>360</v>
      </c>
      <c r="G40" t="s" s="5">
        <v>361</v>
      </c>
      <c r="H40" t="s" s="5">
        <v>362</v>
      </c>
      <c r="I40" t="s" s="5">
        <v>363</v>
      </c>
      <c r="J40" t="s" s="5">
        <v>364</v>
      </c>
      <c r="K40" t="s" s="6">
        <v>634</v>
      </c>
      <c r="L40" t="s" s="6">
        <v>25</v>
      </c>
      <c r="M40" t="s" s="6">
        <v>579</v>
      </c>
      <c r="N40" t="s" s="6">
        <v>580</v>
      </c>
      <c r="O40" t="s" s="6">
        <v>630</v>
      </c>
    </row>
    <row r="41">
      <c r="A41" t="s" s="7">
        <v>365</v>
      </c>
      <c r="B41" t="s" s="5">
        <v>366</v>
      </c>
      <c r="C41" t="s" s="5">
        <v>367</v>
      </c>
      <c r="D41" t="s" s="5">
        <v>96</v>
      </c>
      <c r="E41" t="s" s="5">
        <v>368</v>
      </c>
      <c r="F41" t="s" s="5">
        <v>369</v>
      </c>
      <c r="G41" t="s" s="5">
        <v>370</v>
      </c>
      <c r="H41" t="s" s="5">
        <v>371</v>
      </c>
      <c r="I41" t="s" s="5">
        <v>372</v>
      </c>
      <c r="J41" t="s" s="5">
        <v>373</v>
      </c>
      <c r="K41" t="s" s="6">
        <v>635</v>
      </c>
      <c r="L41" t="s" s="6">
        <v>25</v>
      </c>
      <c r="M41" t="s" s="6">
        <v>579</v>
      </c>
      <c r="N41" t="s" s="6">
        <v>580</v>
      </c>
      <c r="O41" t="s" s="6">
        <v>636</v>
      </c>
    </row>
    <row r="42">
      <c r="A42" t="s" s="7">
        <v>374</v>
      </c>
      <c r="B42" t="s" s="5">
        <v>366</v>
      </c>
      <c r="C42" t="s" s="5">
        <v>375</v>
      </c>
      <c r="D42" t="s" s="5">
        <v>96</v>
      </c>
      <c r="E42" t="s" s="5">
        <v>376</v>
      </c>
      <c r="F42" t="s" s="5">
        <v>377</v>
      </c>
      <c r="G42" t="s" s="5">
        <v>378</v>
      </c>
      <c r="H42" t="s" s="5">
        <v>379</v>
      </c>
      <c r="I42" t="s" s="5">
        <v>380</v>
      </c>
      <c r="J42" t="s" s="5">
        <v>381</v>
      </c>
      <c r="K42" t="s" s="6">
        <v>637</v>
      </c>
      <c r="L42" t="s" s="6">
        <v>25</v>
      </c>
      <c r="M42" t="s" s="6">
        <v>579</v>
      </c>
      <c r="N42" t="s" s="6">
        <v>580</v>
      </c>
      <c r="O42" t="s" s="6">
        <v>636</v>
      </c>
    </row>
    <row r="43">
      <c r="A43" t="s" s="7">
        <v>382</v>
      </c>
      <c r="B43" t="s" s="5">
        <v>366</v>
      </c>
      <c r="C43" t="s" s="5">
        <v>383</v>
      </c>
      <c r="D43" t="s" s="5">
        <v>96</v>
      </c>
      <c r="E43" t="s" s="5">
        <v>384</v>
      </c>
      <c r="F43" t="s" s="5">
        <v>385</v>
      </c>
      <c r="G43" t="s" s="5">
        <v>386</v>
      </c>
      <c r="H43" t="s" s="5">
        <v>387</v>
      </c>
      <c r="I43" t="s" s="5">
        <v>388</v>
      </c>
      <c r="J43" t="s" s="5">
        <v>389</v>
      </c>
      <c r="K43" t="s" s="6">
        <v>638</v>
      </c>
      <c r="L43" t="s" s="6">
        <v>25</v>
      </c>
      <c r="M43" t="s" s="6">
        <v>579</v>
      </c>
      <c r="N43" t="s" s="6">
        <v>580</v>
      </c>
      <c r="O43" t="s" s="6">
        <v>639</v>
      </c>
    </row>
    <row r="44">
      <c r="A44" t="s" s="7">
        <v>390</v>
      </c>
      <c r="B44" t="s" s="5">
        <v>366</v>
      </c>
      <c r="C44" t="s" s="5">
        <v>391</v>
      </c>
      <c r="D44" t="s" s="5">
        <v>96</v>
      </c>
      <c r="E44" t="s" s="5">
        <v>392</v>
      </c>
      <c r="F44" t="s" s="5">
        <v>393</v>
      </c>
      <c r="G44" t="s" s="5">
        <v>394</v>
      </c>
      <c r="H44" t="s" s="5">
        <v>395</v>
      </c>
      <c r="I44" t="s" s="5">
        <v>396</v>
      </c>
      <c r="J44" t="s" s="5">
        <v>397</v>
      </c>
      <c r="K44" t="s" s="6">
        <v>640</v>
      </c>
      <c r="L44" t="s" s="6">
        <v>25</v>
      </c>
      <c r="M44" t="s" s="6">
        <v>579</v>
      </c>
      <c r="N44" t="s" s="6">
        <v>580</v>
      </c>
      <c r="O44" t="s" s="6">
        <v>639</v>
      </c>
    </row>
    <row r="45">
      <c r="A45" t="s" s="7">
        <v>398</v>
      </c>
      <c r="B45" t="s" s="5">
        <v>366</v>
      </c>
      <c r="C45" t="s" s="5">
        <v>399</v>
      </c>
      <c r="D45" t="s" s="5">
        <v>96</v>
      </c>
      <c r="E45" t="s" s="5">
        <v>400</v>
      </c>
      <c r="F45" t="s" s="5">
        <v>401</v>
      </c>
      <c r="G45" t="s" s="5">
        <v>402</v>
      </c>
      <c r="H45" t="s" s="5">
        <v>403</v>
      </c>
      <c r="I45" t="s" s="5">
        <v>404</v>
      </c>
      <c r="J45" t="s" s="5">
        <v>405</v>
      </c>
      <c r="K45" t="s" s="6">
        <v>641</v>
      </c>
      <c r="L45" t="s" s="6">
        <v>25</v>
      </c>
      <c r="M45" t="s" s="6">
        <v>579</v>
      </c>
      <c r="N45" t="s" s="6">
        <v>580</v>
      </c>
      <c r="O45" t="s" s="6">
        <v>639</v>
      </c>
    </row>
    <row r="46">
      <c r="A46" t="s" s="7">
        <v>406</v>
      </c>
      <c r="B46" t="s" s="5">
        <v>407</v>
      </c>
      <c r="C46" t="s" s="5">
        <v>408</v>
      </c>
      <c r="D46" t="s" s="5">
        <v>45</v>
      </c>
      <c r="E46" t="s" s="5">
        <v>409</v>
      </c>
      <c r="F46" t="s" s="5">
        <v>410</v>
      </c>
      <c r="G46" t="s" s="5">
        <v>411</v>
      </c>
      <c r="H46" t="s" s="5">
        <v>412</v>
      </c>
      <c r="I46" t="s" s="5">
        <v>413</v>
      </c>
      <c r="J46" t="s" s="5">
        <v>414</v>
      </c>
      <c r="K46" t="s" s="6">
        <v>642</v>
      </c>
      <c r="L46" t="s" s="6">
        <v>25</v>
      </c>
      <c r="M46" t="s" s="6">
        <v>579</v>
      </c>
      <c r="N46" t="s" s="6">
        <v>580</v>
      </c>
      <c r="O46" t="s" s="6">
        <v>643</v>
      </c>
    </row>
    <row r="47">
      <c r="A47" t="s" s="7">
        <v>415</v>
      </c>
      <c r="B47" t="s" s="5">
        <v>407</v>
      </c>
      <c r="C47" t="s" s="5">
        <v>416</v>
      </c>
      <c r="D47" t="s" s="5">
        <v>45</v>
      </c>
      <c r="E47" t="s" s="5">
        <v>417</v>
      </c>
      <c r="F47" t="s" s="5">
        <v>418</v>
      </c>
      <c r="G47" t="s" s="5">
        <v>419</v>
      </c>
      <c r="H47" t="s" s="5">
        <v>420</v>
      </c>
      <c r="I47" t="s" s="5">
        <v>421</v>
      </c>
      <c r="J47" t="s" s="5">
        <v>422</v>
      </c>
      <c r="K47" t="s" s="6">
        <v>644</v>
      </c>
      <c r="L47" t="s" s="6">
        <v>25</v>
      </c>
      <c r="M47" t="s" s="6">
        <v>579</v>
      </c>
      <c r="N47" t="s" s="6">
        <v>580</v>
      </c>
      <c r="O47" t="s" s="6">
        <v>645</v>
      </c>
    </row>
    <row r="48">
      <c r="A48" t="s" s="7">
        <v>423</v>
      </c>
      <c r="B48" t="s" s="5">
        <v>407</v>
      </c>
      <c r="C48" t="s" s="5">
        <v>424</v>
      </c>
      <c r="D48" t="s" s="5">
        <v>45</v>
      </c>
      <c r="E48" t="s" s="5">
        <v>425</v>
      </c>
      <c r="F48" t="s" s="5">
        <v>426</v>
      </c>
      <c r="G48" t="s" s="5">
        <v>427</v>
      </c>
      <c r="H48" t="s" s="5">
        <v>428</v>
      </c>
      <c r="I48" t="s" s="5">
        <v>429</v>
      </c>
      <c r="J48" t="s" s="5">
        <v>430</v>
      </c>
      <c r="K48" t="s" s="6">
        <v>646</v>
      </c>
      <c r="L48" t="s" s="6">
        <v>25</v>
      </c>
      <c r="M48" t="s" s="6">
        <v>579</v>
      </c>
      <c r="N48" t="s" s="6">
        <v>580</v>
      </c>
      <c r="O48" t="s" s="6">
        <v>643</v>
      </c>
    </row>
    <row r="49">
      <c r="A49" t="s" s="7">
        <v>431</v>
      </c>
      <c r="B49" t="s" s="5">
        <v>407</v>
      </c>
      <c r="C49" t="s" s="5">
        <v>432</v>
      </c>
      <c r="D49" t="s" s="5">
        <v>45</v>
      </c>
      <c r="E49" t="s" s="5">
        <v>433</v>
      </c>
      <c r="F49" t="s" s="5">
        <v>426</v>
      </c>
      <c r="G49" t="s" s="5">
        <v>434</v>
      </c>
      <c r="H49" t="s" s="5">
        <v>435</v>
      </c>
      <c r="I49" t="s" s="5">
        <v>436</v>
      </c>
      <c r="J49" t="s" s="5">
        <v>437</v>
      </c>
      <c r="K49" t="s" s="6">
        <v>647</v>
      </c>
      <c r="L49" t="s" s="6">
        <v>25</v>
      </c>
      <c r="M49" t="s" s="6">
        <v>579</v>
      </c>
      <c r="N49" t="s" s="6">
        <v>580</v>
      </c>
      <c r="O49" t="s" s="6">
        <v>643</v>
      </c>
    </row>
    <row r="50">
      <c r="A50" t="s" s="7">
        <v>438</v>
      </c>
      <c r="B50" t="s" s="5">
        <v>407</v>
      </c>
      <c r="C50" t="s" s="5">
        <v>439</v>
      </c>
      <c r="D50" t="s" s="5">
        <v>308</v>
      </c>
      <c r="E50" t="s" s="5">
        <v>440</v>
      </c>
      <c r="F50" t="s" s="5">
        <v>441</v>
      </c>
      <c r="G50" t="s" s="5">
        <v>442</v>
      </c>
      <c r="H50" t="s" s="5">
        <v>443</v>
      </c>
      <c r="I50" t="s" s="5">
        <v>444</v>
      </c>
      <c r="J50" t="s" s="5">
        <v>445</v>
      </c>
      <c r="K50" t="s" s="6">
        <v>648</v>
      </c>
      <c r="L50" t="s" s="6">
        <v>25</v>
      </c>
      <c r="M50" t="s" s="6">
        <v>579</v>
      </c>
      <c r="N50" t="s" s="6">
        <v>580</v>
      </c>
      <c r="O50" t="s" s="6">
        <v>643</v>
      </c>
    </row>
    <row r="51">
      <c r="A51" t="s" s="7">
        <v>446</v>
      </c>
      <c r="B51" t="s" s="5">
        <v>407</v>
      </c>
      <c r="C51" t="s" s="5">
        <v>447</v>
      </c>
      <c r="D51" t="s" s="5">
        <v>96</v>
      </c>
      <c r="E51" t="s" s="5">
        <v>448</v>
      </c>
      <c r="F51" t="s" s="5">
        <v>449</v>
      </c>
      <c r="G51" t="s" s="5">
        <v>450</v>
      </c>
      <c r="H51" t="s" s="5">
        <v>451</v>
      </c>
      <c r="I51" t="s" s="5">
        <v>452</v>
      </c>
      <c r="J51" t="s" s="5">
        <v>453</v>
      </c>
      <c r="K51" t="s" s="6">
        <v>649</v>
      </c>
      <c r="L51" t="s" s="6">
        <v>25</v>
      </c>
      <c r="M51" t="s" s="6">
        <v>579</v>
      </c>
      <c r="N51" t="s" s="6">
        <v>580</v>
      </c>
      <c r="O51" t="s" s="6">
        <v>643</v>
      </c>
    </row>
    <row r="52">
      <c r="A52" t="s" s="7">
        <v>454</v>
      </c>
      <c r="B52" t="s" s="5">
        <v>407</v>
      </c>
      <c r="C52" t="s" s="5">
        <v>455</v>
      </c>
      <c r="D52" t="s" s="5">
        <v>96</v>
      </c>
      <c r="E52" t="s" s="5">
        <v>456</v>
      </c>
      <c r="F52" t="s" s="5">
        <v>457</v>
      </c>
      <c r="G52" t="s" s="5">
        <v>458</v>
      </c>
      <c r="H52" t="s" s="5">
        <v>459</v>
      </c>
      <c r="I52" t="s" s="5">
        <v>460</v>
      </c>
      <c r="J52" t="s" s="5">
        <v>461</v>
      </c>
      <c r="K52" t="s" s="6">
        <v>650</v>
      </c>
      <c r="L52" t="s" s="6">
        <v>25</v>
      </c>
      <c r="M52" t="s" s="6">
        <v>579</v>
      </c>
      <c r="N52" t="s" s="6">
        <v>580</v>
      </c>
      <c r="O52" t="s" s="6">
        <v>643</v>
      </c>
    </row>
    <row r="53">
      <c r="A53" t="s" s="7">
        <v>462</v>
      </c>
      <c r="B53" t="s" s="5">
        <v>407</v>
      </c>
      <c r="C53" t="s" s="5">
        <v>463</v>
      </c>
      <c r="D53" t="s" s="5">
        <v>45</v>
      </c>
      <c r="E53" t="s" s="5">
        <v>464</v>
      </c>
      <c r="F53" t="s" s="5">
        <v>465</v>
      </c>
      <c r="G53" t="s" s="5">
        <v>466</v>
      </c>
      <c r="H53" t="s" s="5">
        <v>467</v>
      </c>
      <c r="I53" t="s" s="5">
        <v>468</v>
      </c>
      <c r="J53" t="s" s="5">
        <v>469</v>
      </c>
      <c r="K53" t="s" s="6">
        <v>651</v>
      </c>
      <c r="L53" t="s" s="6">
        <v>25</v>
      </c>
      <c r="M53" t="s" s="6">
        <v>579</v>
      </c>
      <c r="N53" t="s" s="6">
        <v>580</v>
      </c>
      <c r="O53" t="s" s="6">
        <v>643</v>
      </c>
    </row>
    <row r="54">
      <c r="A54" t="s" s="7">
        <v>470</v>
      </c>
      <c r="B54" t="s" s="5">
        <v>407</v>
      </c>
      <c r="C54" t="s" s="5">
        <v>471</v>
      </c>
      <c r="D54" t="s" s="5">
        <v>308</v>
      </c>
      <c r="E54" t="s" s="5">
        <v>472</v>
      </c>
      <c r="F54" t="s" s="5">
        <v>473</v>
      </c>
      <c r="G54" t="s" s="5">
        <v>474</v>
      </c>
      <c r="H54" t="s" s="5">
        <v>475</v>
      </c>
      <c r="I54" t="s" s="5">
        <v>476</v>
      </c>
      <c r="J54" t="s" s="5">
        <v>477</v>
      </c>
      <c r="K54" t="s" s="6">
        <v>652</v>
      </c>
      <c r="L54" t="s" s="6">
        <v>25</v>
      </c>
      <c r="M54" t="s" s="6">
        <v>579</v>
      </c>
      <c r="N54" t="s" s="6">
        <v>580</v>
      </c>
      <c r="O54" t="s" s="6">
        <v>643</v>
      </c>
    </row>
    <row r="55">
      <c r="A55" t="s" s="7">
        <v>478</v>
      </c>
      <c r="B55" t="s" s="5">
        <v>407</v>
      </c>
      <c r="C55" t="s" s="5">
        <v>479</v>
      </c>
      <c r="D55" t="s" s="5">
        <v>96</v>
      </c>
      <c r="E55" t="s" s="5">
        <v>480</v>
      </c>
      <c r="F55" t="s" s="5">
        <v>481</v>
      </c>
      <c r="G55" t="s" s="5">
        <v>482</v>
      </c>
      <c r="H55" t="s" s="5">
        <v>483</v>
      </c>
      <c r="I55" t="s" s="5">
        <v>484</v>
      </c>
      <c r="J55" t="s" s="5">
        <v>485</v>
      </c>
      <c r="K55" t="s" s="6">
        <v>653</v>
      </c>
      <c r="L55" t="s" s="6">
        <v>25</v>
      </c>
      <c r="M55" t="s" s="6">
        <v>579</v>
      </c>
      <c r="N55" t="s" s="6">
        <v>580</v>
      </c>
      <c r="O55" t="s" s="6">
        <v>643</v>
      </c>
    </row>
    <row r="56">
      <c r="A56" t="s" s="7">
        <v>486</v>
      </c>
      <c r="B56" t="s" s="5">
        <v>407</v>
      </c>
      <c r="C56" t="s" s="5">
        <v>487</v>
      </c>
      <c r="D56" t="s" s="5">
        <v>308</v>
      </c>
      <c r="E56" t="s" s="5">
        <v>488</v>
      </c>
      <c r="F56" t="s" s="5">
        <v>489</v>
      </c>
      <c r="G56" t="s" s="5">
        <v>490</v>
      </c>
      <c r="H56" t="s" s="5">
        <v>491</v>
      </c>
      <c r="I56" t="s" s="5">
        <v>492</v>
      </c>
      <c r="J56" t="s" s="5">
        <v>493</v>
      </c>
      <c r="K56" t="s" s="6">
        <v>52</v>
      </c>
      <c r="L56" t="s" s="6">
        <v>53</v>
      </c>
      <c r="M56" t="s" s="6">
        <v>579</v>
      </c>
      <c r="N56" t="s" s="6">
        <v>580</v>
      </c>
      <c r="O56" t="s" s="6">
        <v>654</v>
      </c>
    </row>
    <row r="57">
      <c r="A57" t="s" s="7">
        <v>494</v>
      </c>
      <c r="B57" t="s" s="5">
        <v>495</v>
      </c>
      <c r="C57" t="s" s="5">
        <v>496</v>
      </c>
      <c r="D57" t="s" s="5">
        <v>497</v>
      </c>
      <c r="E57" t="s" s="5">
        <v>498</v>
      </c>
      <c r="F57" t="s" s="5">
        <v>499</v>
      </c>
      <c r="G57" t="s" s="5">
        <v>500</v>
      </c>
      <c r="H57" t="s" s="5">
        <v>501</v>
      </c>
      <c r="I57" t="s" s="5">
        <v>497</v>
      </c>
      <c r="J57" t="s" s="5">
        <v>502</v>
      </c>
      <c r="K57" t="s" s="6">
        <v>655</v>
      </c>
      <c r="L57" t="s" s="6">
        <v>25</v>
      </c>
      <c r="M57" t="s" s="6">
        <v>579</v>
      </c>
      <c r="N57" t="s" s="6">
        <v>580</v>
      </c>
      <c r="O57" t="s" s="6">
        <v>656</v>
      </c>
    </row>
    <row r="58">
      <c r="A58" t="s" s="7">
        <v>503</v>
      </c>
      <c r="B58" t="s" s="5">
        <v>495</v>
      </c>
      <c r="C58" t="s" s="5">
        <v>504</v>
      </c>
      <c r="D58" t="s" s="5">
        <v>497</v>
      </c>
      <c r="E58" t="s" s="5">
        <v>505</v>
      </c>
      <c r="F58" t="s" s="5">
        <v>506</v>
      </c>
      <c r="G58" t="s" s="5">
        <v>507</v>
      </c>
      <c r="H58" t="s" s="5">
        <v>508</v>
      </c>
      <c r="I58" t="s" s="5">
        <v>497</v>
      </c>
      <c r="J58" t="s" s="5">
        <v>509</v>
      </c>
      <c r="K58" t="s" s="6">
        <v>657</v>
      </c>
      <c r="L58" t="s" s="6">
        <v>546</v>
      </c>
      <c r="M58" t="s" s="6">
        <v>579</v>
      </c>
      <c r="N58" t="s" s="6">
        <v>580</v>
      </c>
      <c r="O58" t="s" s="6">
        <v>658</v>
      </c>
    </row>
    <row r="59">
      <c r="A59" t="s" s="7">
        <v>510</v>
      </c>
      <c r="B59" t="s" s="5">
        <v>495</v>
      </c>
      <c r="C59" t="s" s="5">
        <v>511</v>
      </c>
      <c r="D59" t="s" s="5">
        <v>497</v>
      </c>
      <c r="E59" t="s" s="5">
        <v>512</v>
      </c>
      <c r="F59" t="s" s="5">
        <v>139</v>
      </c>
      <c r="G59" t="s" s="5">
        <v>513</v>
      </c>
      <c r="H59" t="s" s="5">
        <v>514</v>
      </c>
      <c r="I59" t="s" s="5">
        <v>497</v>
      </c>
      <c r="J59" t="s" s="5">
        <v>515</v>
      </c>
      <c r="K59" t="s" s="6">
        <v>655</v>
      </c>
      <c r="L59" t="s" s="6">
        <v>25</v>
      </c>
      <c r="M59" t="s" s="6">
        <v>579</v>
      </c>
      <c r="N59" t="s" s="6">
        <v>580</v>
      </c>
      <c r="O59" t="s" s="6">
        <v>659</v>
      </c>
    </row>
    <row r="60">
      <c r="A60" t="s" s="7">
        <v>516</v>
      </c>
      <c r="B60" t="s" s="5">
        <v>495</v>
      </c>
      <c r="C60" t="s" s="5">
        <v>517</v>
      </c>
      <c r="D60" t="s" s="5">
        <v>497</v>
      </c>
      <c r="E60" t="s" s="5">
        <v>518</v>
      </c>
      <c r="F60" t="s" s="5">
        <v>519</v>
      </c>
      <c r="G60" t="s" s="5">
        <v>520</v>
      </c>
      <c r="H60" t="s" s="5">
        <v>521</v>
      </c>
      <c r="I60" t="s" s="5">
        <v>497</v>
      </c>
      <c r="J60" t="s" s="5">
        <v>522</v>
      </c>
      <c r="K60" t="s" s="6">
        <v>660</v>
      </c>
      <c r="L60" t="s" s="6">
        <v>546</v>
      </c>
      <c r="M60" t="s" s="6">
        <v>579</v>
      </c>
      <c r="N60" t="s" s="6">
        <v>580</v>
      </c>
      <c r="O60" t="s" s="6">
        <v>661</v>
      </c>
    </row>
    <row r="61">
      <c r="A61" t="s" s="7">
        <v>523</v>
      </c>
      <c r="B61" t="s" s="5">
        <v>495</v>
      </c>
      <c r="C61" t="s" s="5">
        <v>524</v>
      </c>
      <c r="D61" t="s" s="5">
        <v>497</v>
      </c>
      <c r="E61" t="s" s="5">
        <v>525</v>
      </c>
      <c r="F61" t="s" s="5">
        <v>526</v>
      </c>
      <c r="G61" t="s" s="5">
        <v>527</v>
      </c>
      <c r="H61" t="s" s="5">
        <v>528</v>
      </c>
      <c r="I61" t="s" s="5">
        <v>497</v>
      </c>
      <c r="J61" t="s" s="5">
        <v>529</v>
      </c>
      <c r="K61" t="s" s="6">
        <v>662</v>
      </c>
      <c r="L61" t="s" s="6">
        <v>25</v>
      </c>
      <c r="M61" t="s" s="6">
        <v>579</v>
      </c>
      <c r="N61" t="s" s="6">
        <v>580</v>
      </c>
      <c r="O61" t="s" s="6">
        <v>663</v>
      </c>
    </row>
    <row r="62">
      <c r="A62" t="s" s="7">
        <v>530</v>
      </c>
      <c r="B62" t="s" s="5">
        <v>495</v>
      </c>
      <c r="C62" t="s" s="5">
        <v>531</v>
      </c>
      <c r="D62" t="s" s="5">
        <v>497</v>
      </c>
      <c r="E62" t="s" s="5">
        <v>532</v>
      </c>
      <c r="F62" t="s" s="5">
        <v>533</v>
      </c>
      <c r="G62" t="s" s="5">
        <v>534</v>
      </c>
      <c r="H62" t="s" s="5">
        <v>535</v>
      </c>
      <c r="I62" t="s" s="5">
        <v>497</v>
      </c>
      <c r="J62" t="s" s="5">
        <v>536</v>
      </c>
      <c r="K62" t="s" s="6">
        <v>664</v>
      </c>
      <c r="L62" t="s" s="6">
        <v>25</v>
      </c>
      <c r="M62" t="s" s="6">
        <v>579</v>
      </c>
      <c r="N62" t="s" s="6">
        <v>580</v>
      </c>
      <c r="O62" t="s" s="6">
        <v>665</v>
      </c>
    </row>
    <row r="63">
      <c r="A63" t="s" s="7">
        <v>537</v>
      </c>
      <c r="B63" t="s" s="5">
        <v>495</v>
      </c>
      <c r="C63" t="s" s="5">
        <v>538</v>
      </c>
      <c r="D63" t="s" s="5">
        <v>497</v>
      </c>
      <c r="E63" t="s" s="5">
        <v>539</v>
      </c>
      <c r="F63" t="s" s="5">
        <v>540</v>
      </c>
      <c r="G63" t="s" s="5">
        <v>541</v>
      </c>
      <c r="H63" t="s" s="5">
        <v>542</v>
      </c>
      <c r="I63" t="s" s="5">
        <v>497</v>
      </c>
      <c r="J63" t="s" s="5">
        <v>543</v>
      </c>
      <c r="K63" t="s" s="6">
        <v>664</v>
      </c>
      <c r="L63" t="s" s="6">
        <v>25</v>
      </c>
      <c r="M63" t="s" s="6">
        <v>579</v>
      </c>
      <c r="N63" t="s" s="6">
        <v>580</v>
      </c>
      <c r="O63" t="s" s="6">
        <v>666</v>
      </c>
    </row>
  </sheetData>
  <autoFilter ref="A1:O63"/>
  <conditionalFormatting sqref="L2:L63">
    <cfRule type="cellIs" operator="equal" dxfId="0" priority="1">
      <formula>"OK"</formula>
    </cfRule>
    <cfRule type="cellIs" operator="equal" dxfId="1" priority="2">
      <formula>"KO"</formula>
    </cfRule>
  </conditionalFormatting>
  <dataValidations count="1">
    <dataValidation type="list" sqref="L2:L63" allowBlank="true" errorStyle="stop" showErrorMessage="true">
      <formula1>"OK,KO,Bloqué,Non joué"</formula1>
    </dataValidation>
  </dataValidations>
  <pageMargins bottom="0.75" footer="0.3" header="0.3" left="0.7" right="0.7" top="0.75"/>
  <pageSetup orientation="landscape" fitToWidth="1" fitToHeight="0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cols>
    <col min="1" max="1" customWidth="true" width="22.0" collapsed="false"/>
    <col min="2" max="2" customWidth="true" width="12.0" collapsed="false"/>
    <col min="3" max="3" customWidth="true" width="12.0" collapsed="false"/>
    <col min="4" max="4" customWidth="true" width="12.0" collapsed="false"/>
    <col min="5" max="5" customWidth="true" width="12.0" collapsed="false"/>
    <col min="6" max="6" customWidth="true" width="12.0" collapsed="false"/>
    <col min="7" max="7" customWidth="true" width="12.0" collapsed="false"/>
  </cols>
  <sheetData>
    <row r="1">
      <c r="A1" t="s" s="4">
        <v>33</v>
      </c>
      <c r="B1" t="s" s="4">
        <v>544</v>
      </c>
      <c r="C1" t="s" s="4">
        <v>25</v>
      </c>
      <c r="D1" t="s" s="4">
        <v>545</v>
      </c>
      <c r="E1" t="s" s="4">
        <v>546</v>
      </c>
      <c r="F1" t="s" s="4">
        <v>53</v>
      </c>
      <c r="G1" t="s" s="4">
        <v>547</v>
      </c>
    </row>
    <row r="2">
      <c r="A2" t="s" s="5">
        <v>43</v>
      </c>
      <c r="B2" t="n" s="7">
        <f>COUNTIF('Cas de recette'!$B$2:$B$63,A2)</f>
        <v>13.0</v>
      </c>
      <c r="C2" t="n" s="7">
        <f>COUNTIFS('Cas de recette'!$B$2:$B$63,A2,'Cas de recette'!$L$2:$L$63,"OK")</f>
        <v>12.0</v>
      </c>
      <c r="D2" t="n" s="7">
        <f>COUNTIFS('Cas de recette'!$B$2:$B$63,A2,'Cas de recette'!$L$2:$L$63,"KO")</f>
        <v>1.0</v>
      </c>
      <c r="E2" t="n" s="7">
        <f>COUNTIFS('Cas de recette'!$B$2:$B$63,A2,'Cas de recette'!$L$2:$L$63,"Bloqué")</f>
        <v>0.0</v>
      </c>
      <c r="F2" t="n" s="7">
        <f>COUNTIFS('Cas de recette'!$B$2:$B$63,A2,'Cas de recette'!$L$2:$L$63,"Non joué")</f>
        <v>0.0</v>
      </c>
      <c r="G2" t="n" s="8">
        <f>IF(B2=0,0,C2/B2)</f>
        <v>0.9230769230769231</v>
      </c>
    </row>
    <row r="3">
      <c r="A3" t="s" s="5">
        <v>136</v>
      </c>
      <c r="B3" t="n" s="7">
        <f>COUNTIF('Cas de recette'!$B$2:$B$63,A3)</f>
        <v>1.0</v>
      </c>
      <c r="C3" t="n" s="7">
        <f>COUNTIFS('Cas de recette'!$B$2:$B$63,A3,'Cas de recette'!$L$2:$L$63,"OK")</f>
        <v>0.0</v>
      </c>
      <c r="D3" t="n" s="7">
        <f>COUNTIFS('Cas de recette'!$B$2:$B$63,A3,'Cas de recette'!$L$2:$L$63,"KO")</f>
        <v>1.0</v>
      </c>
      <c r="E3" t="n" s="7">
        <f>COUNTIFS('Cas de recette'!$B$2:$B$63,A3,'Cas de recette'!$L$2:$L$63,"Bloqué")</f>
        <v>0.0</v>
      </c>
      <c r="F3" t="n" s="7">
        <f>COUNTIFS('Cas de recette'!$B$2:$B$63,A3,'Cas de recette'!$L$2:$L$63,"Non joué")</f>
        <v>0.0</v>
      </c>
      <c r="G3" t="n" s="8">
        <f>IF(B3=0,0,C3/B3)</f>
        <v>0.0</v>
      </c>
    </row>
    <row r="4">
      <c r="A4" t="s" s="5">
        <v>161</v>
      </c>
      <c r="B4" t="n" s="7">
        <f>COUNTIF('Cas de recette'!$B$2:$B$63,A4)</f>
        <v>15.0</v>
      </c>
      <c r="C4" t="n" s="7">
        <f>COUNTIFS('Cas de recette'!$B$2:$B$63,A4,'Cas de recette'!$L$2:$L$63,"OK")</f>
        <v>15.0</v>
      </c>
      <c r="D4" t="n" s="7">
        <f>COUNTIFS('Cas de recette'!$B$2:$B$63,A4,'Cas de recette'!$L$2:$L$63,"KO")</f>
        <v>0.0</v>
      </c>
      <c r="E4" t="n" s="7">
        <f>COUNTIFS('Cas de recette'!$B$2:$B$63,A4,'Cas de recette'!$L$2:$L$63,"Bloqué")</f>
        <v>0.0</v>
      </c>
      <c r="F4" t="n" s="7">
        <f>COUNTIFS('Cas de recette'!$B$2:$B$63,A4,'Cas de recette'!$L$2:$L$63,"Non joué")</f>
        <v>0.0</v>
      </c>
      <c r="G4" t="n" s="8">
        <f>IF(B4=0,0,C4/B4)</f>
        <v>1.0</v>
      </c>
    </row>
    <row r="5">
      <c r="A5" t="s" s="5">
        <v>282</v>
      </c>
      <c r="B5" t="n" s="7">
        <f>COUNTIF('Cas de recette'!$B$2:$B$63,A5)</f>
        <v>6.0</v>
      </c>
      <c r="C5" t="n" s="7">
        <f>COUNTIFS('Cas de recette'!$B$2:$B$63,A5,'Cas de recette'!$L$2:$L$63,"OK")</f>
        <v>6.0</v>
      </c>
      <c r="D5" t="n" s="7">
        <f>COUNTIFS('Cas de recette'!$B$2:$B$63,A5,'Cas de recette'!$L$2:$L$63,"KO")</f>
        <v>0.0</v>
      </c>
      <c r="E5" t="n" s="7">
        <f>COUNTIFS('Cas de recette'!$B$2:$B$63,A5,'Cas de recette'!$L$2:$L$63,"Bloqué")</f>
        <v>0.0</v>
      </c>
      <c r="F5" t="n" s="7">
        <f>COUNTIFS('Cas de recette'!$B$2:$B$63,A5,'Cas de recette'!$L$2:$L$63,"Non joué")</f>
        <v>0.0</v>
      </c>
      <c r="G5" t="n" s="8">
        <f>IF(B5=0,0,C5/B5)</f>
        <v>1.0</v>
      </c>
    </row>
    <row r="6">
      <c r="A6" t="s" s="5">
        <v>332</v>
      </c>
      <c r="B6" t="n" s="7">
        <f>COUNTIF('Cas de recette'!$B$2:$B$63,A6)</f>
        <v>4.0</v>
      </c>
      <c r="C6" t="n" s="7">
        <f>COUNTIFS('Cas de recette'!$B$2:$B$63,A6,'Cas de recette'!$L$2:$L$63,"OK")</f>
        <v>4.0</v>
      </c>
      <c r="D6" t="n" s="7">
        <f>COUNTIFS('Cas de recette'!$B$2:$B$63,A6,'Cas de recette'!$L$2:$L$63,"KO")</f>
        <v>0.0</v>
      </c>
      <c r="E6" t="n" s="7">
        <f>COUNTIFS('Cas de recette'!$B$2:$B$63,A6,'Cas de recette'!$L$2:$L$63,"Bloqué")</f>
        <v>0.0</v>
      </c>
      <c r="F6" t="n" s="7">
        <f>COUNTIFS('Cas de recette'!$B$2:$B$63,A6,'Cas de recette'!$L$2:$L$63,"Non joué")</f>
        <v>0.0</v>
      </c>
      <c r="G6" t="n" s="8">
        <f>IF(B6=0,0,C6/B6)</f>
        <v>1.0</v>
      </c>
    </row>
    <row r="7">
      <c r="A7" t="s" s="5">
        <v>366</v>
      </c>
      <c r="B7" t="n" s="7">
        <f>COUNTIF('Cas de recette'!$B$2:$B$63,A7)</f>
        <v>5.0</v>
      </c>
      <c r="C7" t="n" s="7">
        <f>COUNTIFS('Cas de recette'!$B$2:$B$63,A7,'Cas de recette'!$L$2:$L$63,"OK")</f>
        <v>5.0</v>
      </c>
      <c r="D7" t="n" s="7">
        <f>COUNTIFS('Cas de recette'!$B$2:$B$63,A7,'Cas de recette'!$L$2:$L$63,"KO")</f>
        <v>0.0</v>
      </c>
      <c r="E7" t="n" s="7">
        <f>COUNTIFS('Cas de recette'!$B$2:$B$63,A7,'Cas de recette'!$L$2:$L$63,"Bloqué")</f>
        <v>0.0</v>
      </c>
      <c r="F7" t="n" s="7">
        <f>COUNTIFS('Cas de recette'!$B$2:$B$63,A7,'Cas de recette'!$L$2:$L$63,"Non joué")</f>
        <v>0.0</v>
      </c>
      <c r="G7" t="n" s="8">
        <f>IF(B7=0,0,C7/B7)</f>
        <v>1.0</v>
      </c>
    </row>
    <row r="8">
      <c r="A8" t="s" s="5">
        <v>407</v>
      </c>
      <c r="B8" t="n" s="7">
        <f>COUNTIF('Cas de recette'!$B$2:$B$63,A8)</f>
        <v>11.0</v>
      </c>
      <c r="C8" t="n" s="7">
        <f>COUNTIFS('Cas de recette'!$B$2:$B$63,A8,'Cas de recette'!$L$2:$L$63,"OK")</f>
        <v>10.0</v>
      </c>
      <c r="D8" t="n" s="7">
        <f>COUNTIFS('Cas de recette'!$B$2:$B$63,A8,'Cas de recette'!$L$2:$L$63,"KO")</f>
        <v>0.0</v>
      </c>
      <c r="E8" t="n" s="7">
        <f>COUNTIFS('Cas de recette'!$B$2:$B$63,A8,'Cas de recette'!$L$2:$L$63,"Bloqué")</f>
        <v>0.0</v>
      </c>
      <c r="F8" t="n" s="7">
        <f>COUNTIFS('Cas de recette'!$B$2:$B$63,A8,'Cas de recette'!$L$2:$L$63,"Non joué")</f>
        <v>1.0</v>
      </c>
      <c r="G8" t="n" s="8">
        <f>IF(B8=0,0,C8/B8)</f>
        <v>0.9090909090909091</v>
      </c>
    </row>
    <row r="9">
      <c r="A9" t="s" s="5">
        <v>495</v>
      </c>
      <c r="B9" t="n" s="7">
        <f>COUNTIF('Cas de recette'!$B$2:$B$63,A9)</f>
        <v>7.0</v>
      </c>
      <c r="C9" t="n" s="7">
        <f>COUNTIFS('Cas de recette'!$B$2:$B$63,A9,'Cas de recette'!$L$2:$L$63,"OK")</f>
        <v>5.0</v>
      </c>
      <c r="D9" t="n" s="7">
        <f>COUNTIFS('Cas de recette'!$B$2:$B$63,A9,'Cas de recette'!$L$2:$L$63,"KO")</f>
        <v>0.0</v>
      </c>
      <c r="E9" t="n" s="7">
        <f>COUNTIFS('Cas de recette'!$B$2:$B$63,A9,'Cas de recette'!$L$2:$L$63,"Bloqué")</f>
        <v>2.0</v>
      </c>
      <c r="F9" t="n" s="7">
        <f>COUNTIFS('Cas de recette'!$B$2:$B$63,A9,'Cas de recette'!$L$2:$L$63,"Non joué")</f>
        <v>0.0</v>
      </c>
      <c r="G9" t="n" s="8">
        <f>IF(B9=0,0,C9/B9)</f>
        <v>0.7142857142857143</v>
      </c>
    </row>
    <row r="10">
      <c r="A10" t="s" s="9">
        <v>548</v>
      </c>
      <c r="B10" t="n" s="9">
        <f>SUM(B2:B9)</f>
        <v>62.0</v>
      </c>
      <c r="C10" t="n" s="9">
        <f>SUM(C2:C9)</f>
        <v>57.0</v>
      </c>
      <c r="D10" t="n" s="9">
        <f>SUM(D2:D9)</f>
        <v>2.0</v>
      </c>
      <c r="E10" t="n" s="9">
        <f>SUM(E2:E9)</f>
        <v>2.0</v>
      </c>
      <c r="F10" t="n" s="9">
        <f>SUM(F2:F9)</f>
        <v>1.0</v>
      </c>
      <c r="G10" t="n" s="8">
        <f>IF(B10=0,0,C10/B10)</f>
        <v>0.9193548387096774</v>
      </c>
    </row>
    <row r="12">
      <c r="A12" t="s" s="10">
        <v>549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customWidth="true" width="26.0" collapsed="false"/>
    <col min="2" max="2" customWidth="true" width="16.0" collapsed="false"/>
    <col min="3" max="3" customWidth="true" width="50.0" collapsed="false"/>
    <col min="4" max="4" customWidth="true" width="50.0" collapsed="false"/>
    <col min="5" max="5" customWidth="true" width="34.0" collapsed="false"/>
    <col min="6" max="6" customWidth="true" width="14.0" collapsed="false"/>
    <col min="7" max="7" customWidth="true" width="12.0" collapsed="false"/>
  </cols>
  <sheetData>
    <row r="1">
      <c r="A1" t="s" s="4">
        <v>550</v>
      </c>
      <c r="B1" t="s" s="4">
        <v>551</v>
      </c>
      <c r="C1" t="s" s="4">
        <v>552</v>
      </c>
      <c r="D1" t="s" s="4">
        <v>553</v>
      </c>
      <c r="E1" t="s" s="4">
        <v>554</v>
      </c>
      <c r="F1" t="s" s="4">
        <v>555</v>
      </c>
      <c r="G1" t="s" s="4">
        <v>28</v>
      </c>
    </row>
    <row r="2">
      <c r="A2" t="s" s="5">
        <v>556</v>
      </c>
      <c r="B2" t="s" s="5">
        <v>557</v>
      </c>
      <c r="C2" t="s" s="5">
        <v>558</v>
      </c>
      <c r="D2" t="s" s="5">
        <v>559</v>
      </c>
      <c r="E2" t="s" s="6">
        <v>52</v>
      </c>
      <c r="F2" t="s" s="6">
        <v>52</v>
      </c>
      <c r="G2" t="s" s="6">
        <v>52</v>
      </c>
    </row>
    <row r="3">
      <c r="A3" t="s" s="5">
        <v>560</v>
      </c>
      <c r="B3" t="s" s="5">
        <v>424</v>
      </c>
      <c r="C3" t="s" s="5">
        <v>561</v>
      </c>
      <c r="D3" t="s" s="5">
        <v>562</v>
      </c>
      <c r="E3" t="s" s="6">
        <v>52</v>
      </c>
      <c r="F3" t="s" s="6">
        <v>52</v>
      </c>
      <c r="G3" t="s" s="6">
        <v>52</v>
      </c>
    </row>
    <row r="4">
      <c r="A4" t="s" s="5">
        <v>563</v>
      </c>
      <c r="B4" t="s" s="5">
        <v>432</v>
      </c>
      <c r="C4" t="s" s="5">
        <v>561</v>
      </c>
      <c r="D4" t="s" s="5">
        <v>564</v>
      </c>
      <c r="E4" t="s" s="6">
        <v>52</v>
      </c>
      <c r="F4" t="s" s="6">
        <v>52</v>
      </c>
      <c r="G4" t="s" s="6">
        <v>52</v>
      </c>
    </row>
    <row r="5">
      <c r="A5" t="s" s="5">
        <v>565</v>
      </c>
      <c r="B5" t="s" s="5">
        <v>358</v>
      </c>
      <c r="C5" t="s" s="5">
        <v>566</v>
      </c>
      <c r="D5" t="s" s="5">
        <v>567</v>
      </c>
      <c r="E5" t="s" s="6">
        <v>52</v>
      </c>
      <c r="F5" t="s" s="6">
        <v>52</v>
      </c>
      <c r="G5" t="s" s="6">
        <v>52</v>
      </c>
    </row>
    <row r="6">
      <c r="A6" t="s" s="5">
        <v>568</v>
      </c>
      <c r="B6" t="s" s="5">
        <v>202</v>
      </c>
      <c r="C6" t="s" s="5">
        <v>569</v>
      </c>
      <c r="D6" t="s" s="5">
        <v>497</v>
      </c>
      <c r="E6" t="s" s="6">
        <v>52</v>
      </c>
      <c r="F6" t="s" s="6">
        <v>52</v>
      </c>
      <c r="G6" t="s" s="6">
        <v>52</v>
      </c>
    </row>
    <row r="7">
      <c r="A7" t="s" s="5">
        <v>570</v>
      </c>
      <c r="B7" t="s" s="5">
        <v>571</v>
      </c>
      <c r="C7" t="s" s="5">
        <v>572</v>
      </c>
      <c r="D7" t="s" s="5">
        <v>573</v>
      </c>
      <c r="E7" t="s" s="6">
        <v>52</v>
      </c>
      <c r="F7" t="s" s="6">
        <v>52</v>
      </c>
      <c r="G7" t="s" s="6">
        <v>52</v>
      </c>
    </row>
    <row r="8">
      <c r="A8" t="s" s="5">
        <v>574</v>
      </c>
      <c r="B8" t="s" s="5">
        <v>575</v>
      </c>
      <c r="C8" t="s" s="5">
        <v>576</v>
      </c>
      <c r="D8" t="s" s="5">
        <v>577</v>
      </c>
      <c r="E8" t="s" s="6">
        <v>52</v>
      </c>
      <c r="F8" t="s" s="6">
        <v>52</v>
      </c>
      <c r="G8" t="s" s="6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2026-10-26T08:35:40Z</dcterms:created>
  <dc:creator>Apache POI</dc:creator>
</cp:coreProperties>
</file>