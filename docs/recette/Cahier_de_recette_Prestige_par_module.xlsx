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3.xml.rels" ContentType="application/vnd.openxmlformats-package.relationships+xml"/>
  <Override PartName="/xl/worksheets/_rels/sheet3.xml.rels" ContentType="application/vnd.openxmlformats-package.relationships+xml"/>
  <Override PartName="/xl/worksheets/_rels/sheet21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Transversal" sheetId="2" state="visible" r:id="rId4"/>
    <sheet name="Service client" sheetId="3" state="visible" r:id="rId5"/>
    <sheet name="Gestion courante" sheetId="4" state="visible" r:id="rId6"/>
    <sheet name="Facturation" sheetId="5" state="visible" r:id="rId7"/>
    <sheet name="Gestion des promotions" sheetId="6" state="visible" r:id="rId8"/>
    <sheet name="Gestion des tiers-payants" sheetId="7" state="visible" r:id="rId9"/>
    <sheet name="Menu pharmacien" sheetId="8" state="visible" r:id="rId10"/>
    <sheet name="Gestion des commandes" sheetId="9" state="visible" r:id="rId11"/>
    <sheet name="Gestion du stock" sheetId="10" state="visible" r:id="rId12"/>
    <sheet name="Parametrages" sheetId="11" state="visible" r:id="rId13"/>
    <sheet name="Retrocession" sheetId="12" state="visible" r:id="rId14"/>
    <sheet name="Analyse de gestion" sheetId="13" state="visible" r:id="rId15"/>
    <sheet name="Notifications" sheetId="14" state="visible" r:id="rId16"/>
    <sheet name="Gestion des utilisateurs" sheetId="15" state="visible" r:id="rId17"/>
    <sheet name="Configuration" sheetId="16" state="visible" r:id="rId18"/>
    <sheet name="Campagnes SMS - WhatsApp" sheetId="17" state="visible" r:id="rId19"/>
    <sheet name="Ressources humaines" sheetId="18" state="visible" r:id="rId20"/>
    <sheet name="Avis clients" sheetId="19" state="visible" r:id="rId21"/>
    <sheet name="Gestion client" sheetId="20" state="visible" r:id="rId22"/>
    <sheet name="Centre de support" sheetId="21" state="visible" r:id="rId23"/>
  </sheets>
  <definedNames>
    <definedName function="false" hidden="false" localSheetId="12" name="_xlnm.Print_Area" vbProcedure="false">'Analyse de gestion'!$A$1:$O$60</definedName>
    <definedName function="false" hidden="false" localSheetId="12" name="_xlnm.Print_Titles" vbProcedure="false">'Analyse de gestion'!$12:$12</definedName>
    <definedName function="false" hidden="true" localSheetId="12" name="_xlnm._FilterDatabase" vbProcedure="false">'Analyse de gestion'!$A$12:$O$60</definedName>
    <definedName function="false" hidden="false" localSheetId="18" name="_xlnm.Print_Area" vbProcedure="false">'Avis clients'!$A$1:$O$13</definedName>
    <definedName function="false" hidden="false" localSheetId="18" name="_xlnm.Print_Titles" vbProcedure="false">'Avis clients'!$12:$12</definedName>
    <definedName function="false" hidden="true" localSheetId="18" name="_xlnm._FilterDatabase" vbProcedure="false">'Avis clients'!$A$12:$O$13</definedName>
    <definedName function="false" hidden="false" localSheetId="16" name="_xlnm.Print_Area" vbProcedure="false">'Campagnes SMS - WhatsApp'!$A$1:$O$15</definedName>
    <definedName function="false" hidden="false" localSheetId="16" name="_xlnm.Print_Titles" vbProcedure="false">'Campagnes SMS - WhatsApp'!$12:$12</definedName>
    <definedName function="false" hidden="true" localSheetId="16" name="_xlnm._FilterDatabase" vbProcedure="false">'Campagnes SMS - WhatsApp'!$A$12:$O$15</definedName>
    <definedName function="false" hidden="false" localSheetId="20" name="_xlnm.Print_Area" vbProcedure="false">'Centre de support'!$A$1:$O$24</definedName>
    <definedName function="false" hidden="false" localSheetId="20" name="_xlnm.Print_Titles" vbProcedure="false">'Centre de support'!$12:$12</definedName>
    <definedName function="false" hidden="true" localSheetId="20" name="_xlnm._FilterDatabase" vbProcedure="false">'Centre de support'!$A$12:$O$24</definedName>
    <definedName function="false" hidden="false" localSheetId="15" name="_xlnm.Print_Area" vbProcedure="false">Configuration!$A$1:$O$22</definedName>
    <definedName function="false" hidden="false" localSheetId="15" name="_xlnm.Print_Titles" vbProcedure="false">Configuration!$12:$12</definedName>
    <definedName function="false" hidden="true" localSheetId="15" name="_xlnm._FilterDatabase" vbProcedure="false">Configuration!$A$12:$O$22</definedName>
    <definedName function="false" hidden="false" localSheetId="4" name="_xlnm.Print_Area" vbProcedure="false">Facturation!$A$1:$O$25</definedName>
    <definedName function="false" hidden="false" localSheetId="4" name="_xlnm.Print_Titles" vbProcedure="false">Facturation!$12:$12</definedName>
    <definedName function="false" hidden="true" localSheetId="4" name="_xlnm._FilterDatabase" vbProcedure="false">Facturation!$A$12:$O$25</definedName>
    <definedName function="false" hidden="false" localSheetId="19" name="_xlnm.Print_Area" vbProcedure="false">'Gestion client'!$A$1:$O$14</definedName>
    <definedName function="false" hidden="false" localSheetId="19" name="_xlnm.Print_Titles" vbProcedure="false">'Gestion client'!$12:$12</definedName>
    <definedName function="false" hidden="true" localSheetId="19" name="_xlnm._FilterDatabase" vbProcedure="false">'Gestion client'!$A$12:$O$14</definedName>
    <definedName function="false" hidden="false" localSheetId="3" name="_xlnm.Print_Area" vbProcedure="false">'Gestion courante'!$A$1:$O$31</definedName>
    <definedName function="false" hidden="false" localSheetId="3" name="_xlnm.Print_Titles" vbProcedure="false">'Gestion courante'!$12:$12</definedName>
    <definedName function="false" hidden="true" localSheetId="3" name="_xlnm._FilterDatabase" vbProcedure="false">'Gestion courante'!$A$12:$O$31</definedName>
    <definedName function="false" hidden="false" localSheetId="8" name="_xlnm.Print_Area" vbProcedure="false">'Gestion des commandes'!$A$1:$O$42</definedName>
    <definedName function="false" hidden="false" localSheetId="8" name="_xlnm.Print_Titles" vbProcedure="false">'Gestion des commandes'!$12:$12</definedName>
    <definedName function="false" hidden="true" localSheetId="8" name="_xlnm._FilterDatabase" vbProcedure="false">'Gestion des commandes'!$A$12:$O$42</definedName>
    <definedName function="false" hidden="false" localSheetId="5" name="_xlnm.Print_Area" vbProcedure="false">'Gestion des promotions'!$A$1:$O$14</definedName>
    <definedName function="false" hidden="false" localSheetId="5" name="_xlnm.Print_Titles" vbProcedure="false">'Gestion des promotions'!$12:$12</definedName>
    <definedName function="false" hidden="true" localSheetId="5" name="_xlnm._FilterDatabase" vbProcedure="false">'Gestion des promotions'!$A$12:$O$14</definedName>
    <definedName function="false" hidden="false" localSheetId="6" name="_xlnm.Print_Area" vbProcedure="false">'Gestion des tiers-payants'!$A$1:$O$42</definedName>
    <definedName function="false" hidden="false" localSheetId="6" name="_xlnm.Print_Titles" vbProcedure="false">'Gestion des tiers-payants'!$12:$12</definedName>
    <definedName function="false" hidden="true" localSheetId="6" name="_xlnm._FilterDatabase" vbProcedure="false">'Gestion des tiers-payants'!$A$12:$O$42</definedName>
    <definedName function="false" hidden="false" localSheetId="14" name="_xlnm.Print_Area" vbProcedure="false">'Gestion des utilisateurs'!$A$1:$O$18</definedName>
    <definedName function="false" hidden="false" localSheetId="14" name="_xlnm.Print_Titles" vbProcedure="false">'Gestion des utilisateurs'!$12:$12</definedName>
    <definedName function="false" hidden="true" localSheetId="14" name="_xlnm._FilterDatabase" vbProcedure="false">'Gestion des utilisateurs'!$A$12:$O$18</definedName>
    <definedName function="false" hidden="false" localSheetId="9" name="_xlnm.Print_Area" vbProcedure="false">'Gestion du stock'!$A$1:$O$58</definedName>
    <definedName function="false" hidden="false" localSheetId="9" name="_xlnm.Print_Titles" vbProcedure="false">'Gestion du stock'!$12:$12</definedName>
    <definedName function="false" hidden="true" localSheetId="9" name="_xlnm._FilterDatabase" vbProcedure="false">'Gestion du stock'!$A$12:$O$58</definedName>
    <definedName function="false" hidden="false" localSheetId="7" name="_xlnm.Print_Area" vbProcedure="false">'Menu pharmacien'!$A$1:$O$16</definedName>
    <definedName function="false" hidden="false" localSheetId="7" name="_xlnm.Print_Titles" vbProcedure="false">'Menu pharmacien'!$12:$12</definedName>
    <definedName function="false" hidden="true" localSheetId="7" name="_xlnm._FilterDatabase" vbProcedure="false">'Menu pharmacien'!$A$12:$O$16</definedName>
    <definedName function="false" hidden="false" localSheetId="13" name="_xlnm.Print_Area" vbProcedure="false">Notifications!$A$1:$O$18</definedName>
    <definedName function="false" hidden="false" localSheetId="13" name="_xlnm.Print_Titles" vbProcedure="false">Notifications!$12:$12</definedName>
    <definedName function="false" hidden="true" localSheetId="13" name="_xlnm._FilterDatabase" vbProcedure="false">Notifications!$A$12:$O$18</definedName>
    <definedName function="false" hidden="false" localSheetId="10" name="_xlnm.Print_Area" vbProcedure="false">Parametrages!$A$1:$O$47</definedName>
    <definedName function="false" hidden="false" localSheetId="10" name="_xlnm.Print_Titles" vbProcedure="false">Parametrages!$12:$12</definedName>
    <definedName function="false" hidden="true" localSheetId="10" name="_xlnm._FilterDatabase" vbProcedure="false">Parametrages!$A$12:$O$47</definedName>
    <definedName function="false" hidden="false" localSheetId="17" name="_xlnm.Print_Area" vbProcedure="false">'Ressources humaines'!$A$1:$O$20</definedName>
    <definedName function="false" hidden="false" localSheetId="17" name="_xlnm.Print_Titles" vbProcedure="false">'Ressources humaines'!$12:$12</definedName>
    <definedName function="false" hidden="true" localSheetId="17" name="_xlnm._FilterDatabase" vbProcedure="false">'Ressources humaines'!$A$12:$O$20</definedName>
    <definedName function="false" hidden="false" localSheetId="11" name="_xlnm.Print_Area" vbProcedure="false">Retrocession!$A$1:$O$14</definedName>
    <definedName function="false" hidden="false" localSheetId="11" name="_xlnm.Print_Titles" vbProcedure="false">Retrocession!$12:$12</definedName>
    <definedName function="false" hidden="true" localSheetId="11" name="_xlnm._FilterDatabase" vbProcedure="false">Retrocession!$A$12:$O$14</definedName>
    <definedName function="false" hidden="false" localSheetId="2" name="_xlnm.Print_Area" vbProcedure="false">'Service client'!$A$1:$O$56</definedName>
    <definedName function="false" hidden="false" localSheetId="2" name="_xlnm.Print_Titles" vbProcedure="false">'Service client'!$12:$12</definedName>
    <definedName function="false" hidden="true" localSheetId="2" name="_xlnm._FilterDatabase" vbProcedure="false">'Service client'!$A$12:$O$56</definedName>
    <definedName function="false" hidden="false" localSheetId="0" name="_xlnm.Print_Area" vbProcedure="false">Synthèse!$A$1:$O$25</definedName>
    <definedName function="false" hidden="false" localSheetId="1" name="_xlnm.Print_Area" vbProcedure="false">Transversal!$A$1:$O$29</definedName>
    <definedName function="false" hidden="false" localSheetId="1" name="_xlnm.Print_Titles" vbProcedure="false">Transversal!$12:$12</definedName>
    <definedName function="false" hidden="true" localSheetId="1" name="_xlnm._FilterDatabase" vbProcedure="false">Transversal!$A$12:$O$29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<sst xmlns="http://schemas.openxmlformats.org/spreadsheetml/2006/main" count="3800" uniqueCount="1101">
  <si>
    <t xml:space="preserve">PRESTIGE — Cahier de recette — Synthèse</t>
  </si>
  <si>
    <t xml:space="preserve">Une feuille par module (onglets en bas). Les chiffres ci-dessous se calculent depuis la colonne Statut de chaque feuille.</t>
  </si>
  <si>
    <t xml:space="preserve">Module</t>
  </si>
  <si>
    <t xml:space="preserve">Feuille</t>
  </si>
  <si>
    <t xml:space="preserve">Cas</t>
  </si>
  <si>
    <t xml:space="preserve">OK</t>
  </si>
  <si>
    <t xml:space="preserve">KO</t>
  </si>
  <si>
    <t xml:space="preserve">Bloqué</t>
  </si>
  <si>
    <t xml:space="preserve">N/A</t>
  </si>
  <si>
    <t xml:space="preserve">Non testé</t>
  </si>
  <si>
    <t xml:space="preserve">Avancement</t>
  </si>
  <si>
    <t xml:space="preserve">Réussite</t>
  </si>
  <si>
    <t xml:space="preserve">KO priorité Haute</t>
  </si>
  <si>
    <t xml:space="preserve">Auto : OK</t>
  </si>
  <si>
    <t xml:space="preserve">Auto : OK partiel</t>
  </si>
  <si>
    <t xml:space="preserve">Auto : KO</t>
  </si>
  <si>
    <t xml:space="preserve">Auto : non exécuté</t>
  </si>
  <si>
    <t xml:space="preserve">Transversal</t>
  </si>
  <si>
    <t xml:space="preserve">SERVICE CLIENT</t>
  </si>
  <si>
    <t xml:space="preserve">Service client</t>
  </si>
  <si>
    <t xml:space="preserve">GESTION COURANTE</t>
  </si>
  <si>
    <t xml:space="preserve">Gestion courante</t>
  </si>
  <si>
    <t xml:space="preserve">FACTURATION</t>
  </si>
  <si>
    <t xml:space="preserve">Facturation</t>
  </si>
  <si>
    <t xml:space="preserve">GESTION DES PROMOTIONS</t>
  </si>
  <si>
    <t xml:space="preserve">Gestion des promotions</t>
  </si>
  <si>
    <t xml:space="preserve">GESTION DES TIERS-PAYANTS</t>
  </si>
  <si>
    <t xml:space="preserve">Gestion des tiers-payants</t>
  </si>
  <si>
    <t xml:space="preserve">MENU PHARMACIEN</t>
  </si>
  <si>
    <t xml:space="preserve">Menu pharmacien</t>
  </si>
  <si>
    <t xml:space="preserve">GESTION DES COMMANDES</t>
  </si>
  <si>
    <t xml:space="preserve">Gestion des commandes</t>
  </si>
  <si>
    <t xml:space="preserve">GESTION DU STOCK</t>
  </si>
  <si>
    <t xml:space="preserve">Gestion du stock</t>
  </si>
  <si>
    <t xml:space="preserve">PARAMETRAGES</t>
  </si>
  <si>
    <t xml:space="preserve">Parametrages</t>
  </si>
  <si>
    <t xml:space="preserve">RETROCESSION</t>
  </si>
  <si>
    <t xml:space="preserve">Retrocession</t>
  </si>
  <si>
    <t xml:space="preserve">ANALYSE DE GESTION</t>
  </si>
  <si>
    <t xml:space="preserve">Analyse de gestion</t>
  </si>
  <si>
    <t xml:space="preserve">NOTIFICATIONS</t>
  </si>
  <si>
    <t xml:space="preserve">Notifications</t>
  </si>
  <si>
    <t xml:space="preserve">GESTION DES UTILISATEURS</t>
  </si>
  <si>
    <t xml:space="preserve">Gestion des utilisateurs</t>
  </si>
  <si>
    <t xml:space="preserve">CONFIGURATION</t>
  </si>
  <si>
    <t xml:space="preserve">Configuration</t>
  </si>
  <si>
    <t xml:space="preserve">Campagnes SMS / WhatsApp</t>
  </si>
  <si>
    <t xml:space="preserve">Campagnes SMS - WhatsApp</t>
  </si>
  <si>
    <t xml:space="preserve">RESSOURCES HUMAINES</t>
  </si>
  <si>
    <t xml:space="preserve">Ressources humaines</t>
  </si>
  <si>
    <t xml:space="preserve">Avis clients</t>
  </si>
  <si>
    <t xml:space="preserve">GESTION CLIENT</t>
  </si>
  <si>
    <t xml:space="preserve">Gestion client</t>
  </si>
  <si>
    <t xml:space="preserve">CENTRE DE SUPPORT</t>
  </si>
  <si>
    <t xml:space="preserve">Centre de support</t>
  </si>
  <si>
    <t xml:space="preserve">TOTAL</t>
  </si>
  <si>
    <t xml:space="preserve">PRESTIGE — Cahier de recette — Transversal</t>
  </si>
  <si>
    <t xml:space="preserve">Version testée :</t>
  </si>
  <si>
    <t xml:space="preserve">Base de test (jamais la production) :</t>
  </si>
  <si>
    <t xml:space="preserve">Synthèse du module</t>
  </si>
  <si>
    <t xml:space="preserve">Mode d'emploi</t>
  </si>
  <si>
    <t xml:space="preserve">Total des cas</t>
  </si>
  <si>
    <t xml:space="preserve">Avancement (testés hors N/A)</t>
  </si>
  <si>
    <t xml:space="preserve">Remplir uniquement les cellules jaunes : Testeur, Date (jj/mm/aaaa), Statut (liste), Résultat obtenu, N° ticket.</t>
  </si>
  <si>
    <t xml:space="preserve">Taux de réussite (OK / testés)</t>
  </si>
  <si>
    <t xml:space="preserve">Statut : Non testé (vide) · OK · KO (décrire et ouvrir un ticket) · Bloqué · N/A (sans objet).</t>
  </si>
  <si>
    <t xml:space="preserve">KO en priorité Haute</t>
  </si>
  <si>
    <t xml:space="preserve">Exemple : Testeur « A. KONÉ » · Date 24/10/2026 · Statut KO · Résultat « Ticket sans le nom du vendeur » · Ticket « SUP-0042 ».</t>
  </si>
  <si>
    <t xml:space="preserve">Exécution automatique : OK / OK partiel / KO / non exécuté</t>
  </si>
  <si>
    <t xml:space="preserve">Tests sur la copie de travail uniquement, jamais la base de production ; sauvegarder la base avant chaque série.</t>
  </si>
  <si>
    <t xml:space="preserve">Ajouter un cas : insérer une ligne dans le tableau. Colonnes grises : résultat de l'exécution automatique sur le banc (ne pas modifier).</t>
  </si>
  <si>
    <t xml:space="preserve">N°</t>
  </si>
  <si>
    <t xml:space="preserve">Écran</t>
  </si>
  <si>
    <t xml:space="preserve">Type de test</t>
  </si>
  <si>
    <t xml:space="preserve">Cas de test</t>
  </si>
  <si>
    <t xml:space="preserve">Prérequis</t>
  </si>
  <si>
    <t xml:space="preserve">Étapes</t>
  </si>
  <si>
    <t xml:space="preserve">Résultat attendu</t>
  </si>
  <si>
    <t xml:space="preserve">Priorité</t>
  </si>
  <si>
    <t xml:space="preserve">Testeur</t>
  </si>
  <si>
    <t xml:space="preserve">Date</t>
  </si>
  <si>
    <t xml:space="preserve">Statut</t>
  </si>
  <si>
    <t xml:space="preserve">Résultat obtenu / anomalie</t>
  </si>
  <si>
    <t xml:space="preserve">N° ticket</t>
  </si>
  <si>
    <t xml:space="preserve">Résultat (exécution automatique)</t>
  </si>
  <si>
    <t xml:space="preserve">Détail / preuve de l'exécution automatique</t>
  </si>
  <si>
    <t xml:space="preserve">Page de connexion</t>
  </si>
  <si>
    <t xml:space="preserve">Fonctionnel</t>
  </si>
  <si>
    <t xml:space="preserve">Connexion par identifiant et mot de passe</t>
  </si>
  <si>
    <t xml:space="preserve">Compte utilisateur actif</t>
  </si>
  <si>
    <t xml:space="preserve">1. Ouvrir http://&lt;serveur&gt;:8080/prestige
2. Saisir identifiant et mot de passe
3. Entrée</t>
  </si>
  <si>
    <t xml:space="preserve">L'accueil s'ouvre avec les menus du profil ; la connexion est notée au journal</t>
  </si>
  <si>
    <t xml:space="preserve">Haute</t>
  </si>
  <si>
    <t xml:space="preserve">securite/test-connexion.js : 16/16 OK</t>
  </si>
  <si>
    <t xml:space="preserve">Sécurité</t>
  </si>
  <si>
    <t xml:space="preserve">Mot de passe faux</t>
  </si>
  <si>
    <t xml:space="preserve">Compte actif</t>
  </si>
  <si>
    <t xml:space="preserve">1. Saisir un mauvais mot de passe 3 fois</t>
  </si>
  <si>
    <t xml:space="preserve">Refus à chaque essai, message générique (sans dire si l'identifiant existe) ; après plusieurs échecs, délai d'attente imposé</t>
  </si>
  <si>
    <t xml:space="preserve">securite/test-connexion.js : 16/16 OK
securite/test-sessions.js : 12/12 OK</t>
  </si>
  <si>
    <t xml:space="preserve">Connexion par badge QR</t>
  </si>
  <si>
    <t xml:space="preserve">Employé rattaché à un utilisateur, badge actif imprimé en QR</t>
  </si>
  <si>
    <t xml:space="preserve">1. Cliquer « Se connecter avec mon badge »
2. Passer le QR devant la douchette</t>
  </si>
  <si>
    <t xml:space="preserve">Session ouverte au nom de l'employé, journal « par badge »</t>
  </si>
  <si>
    <t xml:space="preserve">retours/test-connexion-badge.js : 16/16 OK</t>
  </si>
  <si>
    <t xml:space="preserve">Badge scanné dans le champ Identifiant</t>
  </si>
  <si>
    <t xml:space="preserve">Badge QR valide</t>
  </si>
  <si>
    <t xml:space="preserve">1. Cliquer dans « Identifiant »
2. Scanner le badge</t>
  </si>
  <si>
    <t xml:space="preserve">La lecture est reprise par la connexion par badge ; le contenu ne reste pas affiché ; session ouverte</t>
  </si>
  <si>
    <t xml:space="preserve">Moyenne</t>
  </si>
  <si>
    <t xml:space="preserve">Douchette en clavier QWERTY sur poste AZERTY</t>
  </si>
  <si>
    <t xml:space="preserve">Douchette réglée en anglais</t>
  </si>
  <si>
    <t xml:space="preserve">1. Scanner le badge en mode badge</t>
  </si>
  <si>
    <t xml:space="preserve">Connexion acceptée (lecture remise en ordre automatiquement)</t>
  </si>
  <si>
    <t xml:space="preserve">OK PARTIEL</t>
  </si>
  <si>
    <t xml:space="preserve">retours/test-connexion-badge-lecture.js : 9/9 OK
Non couvert : frappe simulee : la vraie douchette Sunmi a ete essayee par l'officine le 23/10</t>
  </si>
  <si>
    <t xml:space="preserve">Ergonomie</t>
  </si>
  <si>
    <t xml:space="preserve">Lecture de badge déformée</t>
  </si>
  <si>
    <t xml:space="preserve">Douchette mal réglée ou Verr. Maj. actif</t>
  </si>
  <si>
    <t xml:space="preserve">1. Scanner le badge</t>
  </si>
  <si>
    <t xml:space="preserve">Message « Lecture du badge déformée » avec ce qui a été lu, secret masqué ; consigne Verr. Maj. si casse inversée</t>
  </si>
  <si>
    <t xml:space="preserve">retours/test-connexion-badge-lecture.js : 9/9 OK</t>
  </si>
  <si>
    <t xml:space="preserve">Badge réimprimé après régénération</t>
  </si>
  <si>
    <t xml:space="preserve">QR régénéré dans RH</t>
  </si>
  <si>
    <t xml:space="preserve">1. Scanner l'ancien exemplaire
2. Scanner le nouveau</t>
  </si>
  <si>
    <t xml:space="preserve">Ancien : « Badge non reconnu », aucune session ; nouveau : connexion</t>
  </si>
  <si>
    <t xml:space="preserve">retours/test-rh-badge-qr.js : 15/15 OK</t>
  </si>
  <si>
    <t xml:space="preserve">Badge désactivé / expiré / employé inactif</t>
  </si>
  <si>
    <t xml:space="preserve">Badge dans l'un de ces états</t>
  </si>
  <si>
    <t xml:space="preserve">« Badge non reconnu », aucune session ; raison notée dans server.log sans le secret</t>
  </si>
  <si>
    <t xml:space="preserve">Badge d'un employé sans compte utilisateur</t>
  </si>
  <si>
    <t xml:space="preserve">Employé non rattaché, badge imprimé en QR</t>
  </si>
  <si>
    <t xml:space="preserve">« Badge sans compte utilisateur » avec la marche à suivre, aucune session</t>
  </si>
  <si>
    <t xml:space="preserve">retours/test-badge-sans-compte.js : 6/6 OK</t>
  </si>
  <si>
    <t xml:space="preserve">Session</t>
  </si>
  <si>
    <t xml:space="preserve">Déconnexion</t>
  </si>
  <si>
    <t xml:space="preserve">Session ouverte</t>
  </si>
  <si>
    <t xml:space="preserve">1. GESTION DES UTILISATEURS &gt; Deconnexion</t>
  </si>
  <si>
    <t xml:space="preserve">Retour à la page de connexion ; un appel à une page protégée redemande la connexion</t>
  </si>
  <si>
    <t xml:space="preserve">securite/test-sessions.js : 12/12 OK
Non couvert : clic sur l'entree « Deconnexion » du menu non joue</t>
  </si>
  <si>
    <t xml:space="preserve">Droits</t>
  </si>
  <si>
    <t xml:space="preserve">Menus selon le profil</t>
  </si>
  <si>
    <t xml:space="preserve">Deux profils différents (caissier, admin)</t>
  </si>
  <si>
    <t xml:space="preserve">1. Se connecter avec chaque profil</t>
  </si>
  <si>
    <t xml:space="preserve">Chaque profil ne voit que les menus de ses droits ; une action interdite est refusée par le serveur</t>
  </si>
  <si>
    <t xml:space="preserve">securite/test-droits-serveur.js : 26/26 OK
Non couvert : refus du serveur verifie ; affichage des menus par profil non compare</t>
  </si>
  <si>
    <t xml:space="preserve">Journaux</t>
  </si>
  <si>
    <t xml:space="preserve">Aucun secret dans les journaux</t>
  </si>
  <si>
    <t xml:space="preserve">Après une série de tests</t>
  </si>
  <si>
    <t xml:space="preserve">1. Ouvrir server.log et le Centre de support</t>
  </si>
  <si>
    <t xml:space="preserve">Aucun mot de passe, jeton, secret de badge ni texte de message patient dans les traces</t>
  </si>
  <si>
    <t xml:space="preserve">retours/test-connexion-badge.js : 16/16 OK
support/test-sms-configuration-sans-secret.js : 6/6 OK
Non couvert : secret du badge et identifiants SMS verifies ; pas une revue complete des journaux</t>
  </si>
  <si>
    <t xml:space="preserve">Toutes les fenêtres de modification</t>
  </si>
  <si>
    <t xml:space="preserve">Confirmation dans le bouton</t>
  </si>
  <si>
    <t xml:space="preserve">Écran avec suppression/désactivation</t>
  </si>
  <si>
    <t xml:space="preserve">1. Cliquer « Supprimer » ou « Désactiver »
2. Cliquer de nouveau</t>
  </si>
  <si>
    <t xml:space="preserve">1er clic : le bouton passe en « Confirmer… » sans fenêtre ; 2e clic : action faite ; sans 2e clic, le bouton revient seul</t>
  </si>
  <si>
    <t xml:space="preserve">ergonomie/test-confirmation-icones-ligne.js : 14/14 OK</t>
  </si>
  <si>
    <t xml:space="preserve">Toutes les fenêtres</t>
  </si>
  <si>
    <t xml:space="preserve">Double clic sur un bouton qui ouvre une fenêtre</t>
  </si>
  <si>
    <t xml:space="preserve">—</t>
  </si>
  <si>
    <t xml:space="preserve">1. Double-cliquer rapidement sur un bouton d'ouverture</t>
  </si>
  <si>
    <t xml:space="preserve">Une seule fenêtre s'ouvre</t>
  </si>
  <si>
    <t xml:space="preserve">retours/test-double-clic-fenetres.js : 15/15 OK</t>
  </si>
  <si>
    <t xml:space="preserve">Navigation</t>
  </si>
  <si>
    <t xml:space="preserve">Clavier : Entrée, Tab, Échap</t>
  </si>
  <si>
    <t xml:space="preserve">Écran de saisie</t>
  </si>
  <si>
    <t xml:space="preserve">1. Enchaîner la saisie au clavier</t>
  </si>
  <si>
    <t xml:space="preserve">Entrée valide le champ / passe au suivant comme prévu ; Échap ferme une fenêtre sans rien changer</t>
  </si>
  <si>
    <t xml:space="preserve">retours/test-vente-client-standard.js : 25/25 OK
Non couvert : Entree et Echap verifies sur l'ecran de vente seulement</t>
  </si>
  <si>
    <t xml:space="preserve">Aucune nouvelle erreur après la recette</t>
  </si>
  <si>
    <t xml:space="preserve">Fin de campagne</t>
  </si>
  <si>
    <t xml:space="preserve">1. CENTRE DE SUPPORT &gt; Diagnostic &amp; bugs</t>
  </si>
  <si>
    <t xml:space="preserve">Pas de nouvelle erreur Java / JavaScript / Ajax due aux tests ; chaque erreur trouvée a un ticket</t>
  </si>
  <si>
    <t xml:space="preserve">retours/test-saisie-ecrans.js : 5/5 OK (1012 champs, 221 écrans)</t>
  </si>
  <si>
    <t xml:space="preserve">Performance</t>
  </si>
  <si>
    <t xml:space="preserve">Temps d'ouverture des écrans principaux</t>
  </si>
  <si>
    <t xml:space="preserve">Base de taille réelle</t>
  </si>
  <si>
    <t xml:space="preserve">1. Ouvrir Ventes, Pilotage, Gestion des entrées, Fiche article</t>
  </si>
  <si>
    <t xml:space="preserve">Chaque écran utilisable en moins de 3 s ; mesures reportées dans RAPPORT_LENTEUR_CONNEXION.md</t>
  </si>
  <si>
    <t xml:space="preserve">perf/test-perf-pilotage.js : 26/26 budgets respectes
perf/test-lignes-bl-mobile.js : 5/5 OK
Non couvert : temps d'ouverture de chaque ecran : voir les lignes Non-regression</t>
  </si>
  <si>
    <t xml:space="preserve">PRESTIGE — Cahier de recette — SERVICE CLIENT</t>
  </si>
  <si>
    <t xml:space="preserve">Ouverture de Caisse</t>
  </si>
  <si>
    <t xml:space="preserve">Ouvrir la caisse</t>
  </si>
  <si>
    <t xml:space="preserve">Fonds de caisse attribué</t>
  </si>
  <si>
    <t xml:space="preserve">1. Ouvrir la caisse avec le fonds</t>
  </si>
  <si>
    <t xml:space="preserve">Caisse ouverte ; les ventes deviennent possibles</t>
  </si>
  <si>
    <t xml:space="preserve">NON EXÉCUTÉ</t>
  </si>
  <si>
    <t xml:space="preserve">Pas de test automatique (ouverture de caisse avec fonds) : a faire a la main</t>
  </si>
  <si>
    <t xml:space="preserve">Ventes</t>
  </si>
  <si>
    <t xml:space="preserve">Vente au comptant</t>
  </si>
  <si>
    <t xml:space="preserve">Caisse ouverte, article en stock</t>
  </si>
  <si>
    <t xml:space="preserve">1. Nouvelle vente
2. Scanner ou taper le CIP, Entrée
3. Quantité
4. Clôturer, régler en espèces</t>
  </si>
  <si>
    <t xml:space="preserve">Ticket imprimé, stock diminué, montant en caisse</t>
  </si>
  <si>
    <t xml:space="preserve">vente/test-historique-deconditionnement.js : 15/15 OK
Non couvert : vente cloturee et stock verifies ; impression du ticket (imprimante) non verifiable ici</t>
  </si>
  <si>
    <t xml:space="preserve">Vente assurance (tiers-payant)</t>
  </si>
  <si>
    <t xml:space="preserve">Client assuré avec tiers-payant et taux</t>
  </si>
  <si>
    <t xml:space="preserve">1. Type de vente Assurance
2. Choisir l'assuré
3. Ajouter les articles
4. Clôturer</t>
  </si>
  <si>
    <t xml:space="preserve">Part assurance et part client calculées au taux ; bon enregistré</t>
  </si>
  <si>
    <t xml:space="preserve">vente/test-deuxieme-assurance.js : 14/14 PASS
retours/test-vente-client-standard.js : 25/25 OK
Non couvert : assure choisi et parts d'assurance modifiees ; vente assurance complete jusqu'a la cloture non jouee</t>
  </si>
  <si>
    <t xml:space="preserve">Vente carnet</t>
  </si>
  <si>
    <t xml:space="preserve">Client carnet</t>
  </si>
  <si>
    <t xml:space="preserve">1. Type Carnet, choisir le client, vendre, clôturer</t>
  </si>
  <si>
    <t xml:space="preserve">Montant porté au compte du carnet</t>
  </si>
  <si>
    <t xml:space="preserve">Pas de test automatique de vente carnet complete : a faire a la main</t>
  </si>
  <si>
    <t xml:space="preserve">Changement de tiers-payant sur la vente</t>
  </si>
  <si>
    <t xml:space="preserve">Vente assurance en cours</t>
  </si>
  <si>
    <t xml:space="preserve">1. Changer le tiers-payant
2. Valider sans choix puis avec choix</t>
  </si>
  <si>
    <t xml:space="preserve">Sans choix : champ signalé ; avec choix : vente mise à jour</t>
  </si>
  <si>
    <t xml:space="preserve">journal/test-vente-changer-tiers-payant.js : 7/7 OK</t>
  </si>
  <si>
    <t xml:space="preserve">Vendeur tapé non reconnu</t>
  </si>
  <si>
    <t xml:space="preserve">Nouvelle vente</t>
  </si>
  <si>
    <t xml:space="preserve">1. Taper un nom inconnu dans « Vendeur », Tab</t>
  </si>
  <si>
    <t xml:space="preserve">Signal immédiat (bordure rouge, infobulle, alerte sans fenêtre) : la vente sera au nom de l'utilisateur connecté</t>
  </si>
  <si>
    <t xml:space="preserve">journal/test-vente-vendeur-inconnu.js : 5/5 OK</t>
  </si>
  <si>
    <t xml:space="preserve">Vendeur tapé exact</t>
  </si>
  <si>
    <t xml:space="preserve">1. Taper le nom complet d'un vendeur, Tab</t>
  </si>
  <si>
    <t xml:space="preserve">Vendeur reconnu et retenu, pas de signal</t>
  </si>
  <si>
    <t xml:space="preserve">Basse</t>
  </si>
  <si>
    <t xml:space="preserve">Quantité décimale dans la grille</t>
  </si>
  <si>
    <t xml:space="preserve">Vente avec une ligne</t>
  </si>
  <si>
    <t xml:space="preserve">1. Taper 1.5 dans la colonne quantité, Entrée</t>
  </si>
  <si>
    <t xml:space="preserve">Quantité enregistrée en entier, sans erreur serveur</t>
  </si>
  <si>
    <t xml:space="preserve">journal/test-vente-quantite-decimale.js : 5/5 OK</t>
  </si>
  <si>
    <t xml:space="preserve">QR code publicitaire scanné</t>
  </si>
  <si>
    <t xml:space="preserve">1. Scanner un QR de site internet dans « Produit »</t>
  </si>
  <si>
    <t xml:space="preserve">Message « QR code publicitaire » sans fenêtre, champ vidé, aucune recherche lancée</t>
  </si>
  <si>
    <t xml:space="preserve">journal/test-scan-qr-publicitaire.js : 13/13 OK</t>
  </si>
  <si>
    <t xml:space="preserve">Étiquette 2D (GS1) scannée</t>
  </si>
  <si>
    <t xml:space="preserve">Paramètre de lecture GS1 actif</t>
  </si>
  <si>
    <t xml:space="preserve">1. Scanner un DataMatrix produit</t>
  </si>
  <si>
    <t xml:space="preserve">Produit trouvé ; lot comparé, lot périmé refusé</t>
  </si>
  <si>
    <t xml:space="preserve">retours/test-etiquettes-gs1.js : 17/17 OK
retours/test-gs1-controle-lot.js : 25/25 OK</t>
  </si>
  <si>
    <t xml:space="preserve">Règlement en points fidélité</t>
  </si>
  <si>
    <t xml:space="preserve">Client avec points, fidélité paramétrée</t>
  </si>
  <si>
    <t xml:space="preserve">1. Vente, mode de règlement « Points fidélité »</t>
  </si>
  <si>
    <t xml:space="preserve">Points déduits ; montant restant réglé autrement</t>
  </si>
  <si>
    <t xml:space="preserve">retours/test-paiement-points.js : 25/25 OK</t>
  </si>
  <si>
    <t xml:space="preserve">Déconditionnement automatique</t>
  </si>
  <si>
    <t xml:space="preserve">Article déconditionnable, stock détail insuffisant</t>
  </si>
  <si>
    <t xml:space="preserve">1. Vendre au détail</t>
  </si>
  <si>
    <t xml:space="preserve">Boîte déconditionnée automatiquement ; historique cohérent</t>
  </si>
  <si>
    <t xml:space="preserve">vente/test-historique-deconditionnement.js : 15/15 OK</t>
  </si>
  <si>
    <t xml:space="preserve">Modifier le client standard depuis la caisse</t>
  </si>
  <si>
    <t xml:space="preserve">Droit P_CLIENT_STANDARD_MAJ</t>
  </si>
  <si>
    <t xml:space="preserve">1. Client standard associé
2. « Modifier », saisir, Entrée</t>
  </si>
  <si>
    <t xml:space="preserve">Fiche, vente et caisse à jour ; sans le droit, bouton absent</t>
  </si>
  <si>
    <t xml:space="preserve">retours/test-vente-client-standard.js : 25/25 OK</t>
  </si>
  <si>
    <t xml:space="preserve">Pre-vente</t>
  </si>
  <si>
    <t xml:space="preserve">Prévente puis clôture en caisse</t>
  </si>
  <si>
    <t xml:space="preserve">Profil prévente et caissier</t>
  </si>
  <si>
    <t xml:space="preserve">1. Saisir la prévente
2. La reprendre en caisse et clôturer</t>
  </si>
  <si>
    <t xml:space="preserve">Vente reprise avec articles, vendeur et client ; clôturée par le caissier</t>
  </si>
  <si>
    <t xml:space="preserve">retours/test-prevente.js : 16/16 PASS
securite/test-cloture-vente-profil-prevente.js : 13/13 OK</t>
  </si>
  <si>
    <t xml:space="preserve">Vente dépôt</t>
  </si>
  <si>
    <t xml:space="preserve">Vente à un dépôt</t>
  </si>
  <si>
    <t xml:space="preserve">Dépôt existant</t>
  </si>
  <si>
    <t xml:space="preserve">1. Nouvelle vente dépôt, choisir le dépôt, articles, clôturer</t>
  </si>
  <si>
    <t xml:space="preserve">Stock du dépôt et de l'officine à jour</t>
  </si>
  <si>
    <t xml:space="preserve">retours/test-vente-en-depot.js : 31/31 verifications
securite/test-vente-depot-cloture.js : 5/5 OK</t>
  </si>
  <si>
    <t xml:space="preserve">Vente terminées</t>
  </si>
  <si>
    <t xml:space="preserve">Annuler une vente</t>
  </si>
  <si>
    <t xml:space="preserve">Vente du jour</t>
  </si>
  <si>
    <t xml:space="preserve">1. Annuler la vente</t>
  </si>
  <si>
    <t xml:space="preserve">Stock rendu, caisse corrigée ; la vente apparaît dans « Liste des ventes annulées » ; pas d'annulation en double</t>
  </si>
  <si>
    <t xml:space="preserve">retours/test-annulation-vente-double.js : 11/11 OK</t>
  </si>
  <si>
    <t xml:space="preserve">Réimprimer un ticket</t>
  </si>
  <si>
    <t xml:space="preserve">Vente terminée</t>
  </si>
  <si>
    <t xml:space="preserve">1. Réimprimer</t>
  </si>
  <si>
    <t xml:space="preserve">Ticket identique à l'original</t>
  </si>
  <si>
    <t xml:space="preserve">Impression du ticket : imprimante absente ici, a faire a la main</t>
  </si>
  <si>
    <t xml:space="preserve">Proforma</t>
  </si>
  <si>
    <t xml:space="preserve">Créer un proforma</t>
  </si>
  <si>
    <t xml:space="preserve">Client</t>
  </si>
  <si>
    <t xml:space="preserve">1. Nouveau proforma, client, articles
2. Imprimer</t>
  </si>
  <si>
    <t xml:space="preserve">Proforma imprimé, aucun mouvement de stock</t>
  </si>
  <si>
    <t xml:space="preserve">retours/test-proforma.js : 11/11 PASS
Non couvert : ajout et retrait de lignes verifies ; impression non verifiee</t>
  </si>
  <si>
    <t xml:space="preserve">Cloture de Caisse</t>
  </si>
  <si>
    <t xml:space="preserve">Clôturer la caisse</t>
  </si>
  <si>
    <t xml:space="preserve">Ventes du jour</t>
  </si>
  <si>
    <t xml:space="preserve">1. Clôturer la caisse</t>
  </si>
  <si>
    <t xml:space="preserve">Billetage et total conformes aux ventes et mouvements ; caisse fermée</t>
  </si>
  <si>
    <t xml:space="preserve">Pas de test automatique de cloture de caisse (billetage) : a faire a la main</t>
  </si>
  <si>
    <t xml:space="preserve">Ordonnancier</t>
  </si>
  <si>
    <t xml:space="preserve">Consulter l'ordonnancier</t>
  </si>
  <si>
    <t xml:space="preserve">Ventes avec ordonnance</t>
  </si>
  <si>
    <t xml:space="preserve">1. Filtrer par période</t>
  </si>
  <si>
    <t xml:space="preserve">Ordonnances de la période, impression possible</t>
  </si>
  <si>
    <t xml:space="preserve">etape3/test-ordonnancier.js : 62/62 assertions</t>
  </si>
  <si>
    <t xml:space="preserve">Points fidélité</t>
  </si>
  <si>
    <t xml:space="preserve">Paramétrer la fidélité</t>
  </si>
  <si>
    <t xml:space="preserve">Droit admin</t>
  </si>
  <si>
    <t xml:space="preserve">1. Régler points, paliers, produits éligibles, conversion</t>
  </si>
  <si>
    <t xml:space="preserve">Les ventes suivantes cumulent les points selon les règles</t>
  </si>
  <si>
    <t xml:space="preserve">retours/test-fidelite.js : 29/29 OK</t>
  </si>
  <si>
    <t xml:space="preserve">Rappels traitement</t>
  </si>
  <si>
    <t xml:space="preserve">Rappel de renouvellement</t>
  </si>
  <si>
    <t xml:space="preserve">Client consentant, traitement suivi</t>
  </si>
  <si>
    <t xml:space="preserve">1. Ouvrir la liste des rappels</t>
  </si>
  <si>
    <t xml:space="preserve">Rappels dus listés ; impression PDF / export</t>
  </si>
  <si>
    <t xml:space="preserve">retours/test-rappels-habitude.js : 25/25 OK</t>
  </si>
  <si>
    <t xml:space="preserve">Fonds de caisse</t>
  </si>
  <si>
    <t xml:space="preserve">Non-régression</t>
  </si>
  <si>
    <t xml:space="preserve">Ouverture et affichage de l'écran</t>
  </si>
  <si>
    <t xml:space="preserve">Profil ayant le droit du menu</t>
  </si>
  <si>
    <t xml:space="preserve">1. Ouvrir SERVICE CLIENT &gt; Fonds de caisse
2. Utiliser la recherche / les filtres de l'écran
3. Imprimer ou exporter si l'écran le propose</t>
  </si>
  <si>
    <t xml:space="preserve">L'écran s'ouvre sans message d'erreur ; la liste se charge ; filtres et impression/export fonctionnent ; aucune erreur au Centre de support</t>
  </si>
  <si>
    <t xml:space="preserve">recette/recette-ecrans.js : ouvert par le menu, chargé en 1.7 s — exécuté le 24/10/2026 sur le banc</t>
  </si>
  <si>
    <t xml:space="preserve">1. Ouvrir SERVICE CLIENT &gt; Ouverture de Caisse
2. Utiliser la recherche / les filtres de l'écran
3. Imprimer ou exporter si l'écran le propose</t>
  </si>
  <si>
    <t xml:space="preserve">Liste des ventes dépots</t>
  </si>
  <si>
    <t xml:space="preserve">1. Ouvrir SERVICE CLIENT &gt; Liste des ventes dépots
2. Utiliser la recherche / les filtres de l'écran
3. Imprimer ou exporter si l'écran le propose</t>
  </si>
  <si>
    <t xml:space="preserve">recette/recette-ecrans.js : ouvert par le menu, chargé en 1.8 s — exécuté le 24/10/2026 sur le banc</t>
  </si>
  <si>
    <t xml:space="preserve">1. Ouvrir SERVICE CLIENT &gt; Pre-vente
2. Utiliser la recherche / les filtres de l'écran
3. Imprimer ou exporter si l'écran le propose</t>
  </si>
  <si>
    <t xml:space="preserve">1. Ouvrir SERVICE CLIENT &gt; Ventes
2. Utiliser la recherche / les filtres de l'écran
3. Imprimer ou exporter si l'écran le propose</t>
  </si>
  <si>
    <t xml:space="preserve">1. Ouvrir SERVICE CLIENT &gt; Vente dépôt
2. Utiliser la recherche / les filtres de l'écran
3. Imprimer ou exporter si l'écran le propose</t>
  </si>
  <si>
    <t xml:space="preserve">1. Ouvrir SERVICE CLIENT &gt; Vente terminées
2. Utiliser la recherche / les filtres de l'écran
3. Imprimer ou exporter si l'écran le propose</t>
  </si>
  <si>
    <t xml:space="preserve">recette/recette-ecrans.js : ouvert par le menu, chargé en 1.9 s — exécuté le 24/10/2026 sur le banc</t>
  </si>
  <si>
    <t xml:space="preserve">Analyse Posologie</t>
  </si>
  <si>
    <t xml:space="preserve">1. Ouvrir SERVICE CLIENT &gt; Analyse Posologie
2. Utiliser la recherche / les filtres de l'écran
3. Imprimer ou exporter si l'écran le propose</t>
  </si>
  <si>
    <t xml:space="preserve">1. Ouvrir SERVICE CLIENT &gt; Cloture de Caisse
2. Utiliser la recherche / les filtres de l'écran
3. Imprimer ou exporter si l'écran le propose</t>
  </si>
  <si>
    <t xml:space="preserve">recette/recette-ecrans.js : ouvert par le menu, chargé en 1.7 s, 1 écriture(s) interceptée(s) — exécuté le 24/10/2026 sur le banc</t>
  </si>
  <si>
    <t xml:space="preserve">Liste des ventes annulées</t>
  </si>
  <si>
    <t xml:space="preserve">1. Ouvrir SERVICE CLIENT &gt; Liste des ventes annulées
2. Utiliser la recherche / les filtres de l'écran
3. Imprimer ou exporter si l'écran le propose</t>
  </si>
  <si>
    <t xml:space="preserve">1. Ouvrir SERVICE CLIENT &gt; Proforma
2. Utiliser la recherche / les filtres de l'écran
3. Imprimer ou exporter si l'écran le propose</t>
  </si>
  <si>
    <t xml:space="preserve">Ventes ratées</t>
  </si>
  <si>
    <t xml:space="preserve">1. Ouvrir SERVICE CLIENT &gt; Ventes ratées
2. Utiliser la recherche / les filtres de l'écran
3. Imprimer ou exporter si l'écran le propose</t>
  </si>
  <si>
    <t xml:space="preserve">recette/recette-ecrans.js : ouvert par son composant (entrée introuvable sous ce libellé), chargé en 11.5 s — exécuté le 24/10/2026 sur le banc</t>
  </si>
  <si>
    <t xml:space="preserve">Modèles de messages</t>
  </si>
  <si>
    <t xml:space="preserve">1. Ouvrir SERVICE CLIENT &gt; Modèles de messages
2. Utiliser la recherche / les filtres de l'écran
3. Imprimer ou exporter si l'écran le propose</t>
  </si>
  <si>
    <t xml:space="preserve">recette/recette-ecrans.js : ouvert par son composant (entrée introuvable sous ce libellé), chargé en 11.0 s — exécuté le 24/10/2026 sur le banc</t>
  </si>
  <si>
    <t xml:space="preserve">1. Ouvrir SERVICE CLIENT &gt; Points fidélité
2. Utiliser la recherche / les filtres de l'écran
3. Imprimer ou exporter si l'écran le propose</t>
  </si>
  <si>
    <t xml:space="preserve">recette/recette-ecrans.js : ouvert par le menu, chargé en 1.3 s, 1 écriture(s) interceptée(s) — exécuté le 24/10/2026 sur le banc</t>
  </si>
  <si>
    <t xml:space="preserve">1. Ouvrir SERVICE CLIENT &gt; Rappels traitement
2. Utiliser la recherche / les filtres de l'écran
3. Imprimer ou exporter si l'écran le propose</t>
  </si>
  <si>
    <t xml:space="preserve">Liste des avoirs</t>
  </si>
  <si>
    <t xml:space="preserve">1. Ouvrir SERVICE CLIENT &gt; Liste des avoirs
2. Utiliser la recherche / les filtres de l'écran
3. Imprimer ou exporter si l'écran le propose</t>
  </si>
  <si>
    <t xml:space="preserve">1. Ouvrir SERVICE CLIENT &gt; Ordonnancier
2. Utiliser la recherche / les filtres de l'écran
3. Imprimer ou exporter si l'écran le propose</t>
  </si>
  <si>
    <t xml:space="preserve">recette/recette-ecrans.js : ouvert par son composant (entrée introuvable sous ce libellé), chargé en 11.2 s, 1 écriture(s) interceptée(s) — exécuté le 24/10/2026 sur le banc</t>
  </si>
  <si>
    <t xml:space="preserve">Suivi dossier client</t>
  </si>
  <si>
    <t xml:space="preserve">1. Ouvrir SERVICE CLIENT &gt; Suivi dossier client
2. Utiliser la recherche / les filtres de l'écran
3. Imprimer ou exporter si l'écran le propose</t>
  </si>
  <si>
    <t xml:space="preserve">recette/recette-ecrans.js : ouvert par le menu, chargé en 1.5 s — exécuté le 24/10/2026 sur le banc</t>
  </si>
  <si>
    <t xml:space="preserve">Ventes sans n° de bon</t>
  </si>
  <si>
    <t xml:space="preserve">1. Ouvrir SERVICE CLIENT &gt; Ventes sans n° de bon
2. Utiliser la recherche / les filtres de l'écran
3. Imprimer ou exporter si l'écran le propose</t>
  </si>
  <si>
    <t xml:space="preserve">recette/recette-ecrans.js : Écran inexistant dans le code : entrée masquée du menu le 24/10 (base inchangée), test retours/test-menus-casses-masques.js 7/7 — exécuté le 24/10/2026 sur le banc</t>
  </si>
  <si>
    <t xml:space="preserve">Vendeurs et caissiers</t>
  </si>
  <si>
    <t xml:space="preserve">1. Ouvrir SERVICE CLIENT &gt; Vendeurs et caissiers
2. Utiliser la recherche / les filtres de l'écran
3. Imprimer ou exporter si l'écran le propose</t>
  </si>
  <si>
    <t xml:space="preserve">Corbeille des ventes</t>
  </si>
  <si>
    <t xml:space="preserve">1. Ouvrir SERVICE CLIENT &gt; Corbeille des ventes
2. Utiliser la recherche / les filtres de l'écran
3. Imprimer ou exporter si l'écran le propose</t>
  </si>
  <si>
    <t xml:space="preserve">Retraits et abandons</t>
  </si>
  <si>
    <t xml:space="preserve">1. Ouvrir SERVICE CLIENT &gt; Retraits et abandons
2. Utiliser la recherche / les filtres de l'écran
3. Imprimer ou exporter si l'écran le propose</t>
  </si>
  <si>
    <t xml:space="preserve">PRESTIGE — Cahier de recette — GESTION COURANTE</t>
  </si>
  <si>
    <t xml:space="preserve">Ticket Z</t>
  </si>
  <si>
    <t xml:space="preserve">Ticket Z du jour</t>
  </si>
  <si>
    <t xml:space="preserve">1. Éditer le ticket Z</t>
  </si>
  <si>
    <t xml:space="preserve">Totaux par mode de règlement égaux à la caisse</t>
  </si>
  <si>
    <t xml:space="preserve">Pas de test automatique du ticket Z : a faire a la main</t>
  </si>
  <si>
    <t xml:space="preserve">Balance Vente/Caisse</t>
  </si>
  <si>
    <t xml:space="preserve">Balance sur une période</t>
  </si>
  <si>
    <t xml:space="preserve">Ventes sur la période</t>
  </si>
  <si>
    <t xml:space="preserve">1. Choisir la période</t>
  </si>
  <si>
    <t xml:space="preserve">Totaux cohérents avec les ventes terminées de la période</t>
  </si>
  <si>
    <t xml:space="preserve">Pas de test automatique des totaux de la balance (ouverture : voir la ligne Non-regression) : a faire a la main</t>
  </si>
  <si>
    <t xml:space="preserve">Mouvements de Caisse</t>
  </si>
  <si>
    <t xml:space="preserve">Entrée / sortie de caisse</t>
  </si>
  <si>
    <t xml:space="preserve">Caisse ouverte</t>
  </si>
  <si>
    <t xml:space="preserve">1. Saisir un mouvement</t>
  </si>
  <si>
    <t xml:space="preserve">Mouvement visible et pris dans la clôture</t>
  </si>
  <si>
    <t xml:space="preserve">caisse/test-mvt-caisse.js : 11/11 PASS</t>
  </si>
  <si>
    <t xml:space="preserve">1. Ouvrir GESTION COURANTE &gt; Ticket Z
2. Utiliser la recherche / les filtres de l'écran
3. Imprimer ou exporter si l'écran le propose</t>
  </si>
  <si>
    <t xml:space="preserve">recette/recette-ecrans.js : ouvert par le menu, chargé en 1.6 s, 1 écriture(s) interceptée(s) — exécuté le 24/10/2026 sur le banc</t>
  </si>
  <si>
    <t xml:space="preserve">Bons par organisme</t>
  </si>
  <si>
    <t xml:space="preserve">1. Ouvrir GESTION COURANTE &gt; Bons par organisme
2. Utiliser la recherche / les filtres de l'écran
3. Imprimer ou exporter si l'écran le propose</t>
  </si>
  <si>
    <t xml:space="preserve">1. Ouvrir GESTION COURANTE &gt; Mouvements de Caisse
2. Utiliser la recherche / les filtres de l'écran
3. Imprimer ou exporter si l'écran le propose</t>
  </si>
  <si>
    <t xml:space="preserve">Visualiser la caisse</t>
  </si>
  <si>
    <t xml:space="preserve">1. Ouvrir GESTION COURANTE &gt; Visualiser la caisse
2. Utiliser la recherche / les filtres de l'écran
3. Imprimer ou exporter si l'écran le propose</t>
  </si>
  <si>
    <t xml:space="preserve">Gestion Caisse</t>
  </si>
  <si>
    <t xml:space="preserve">1. Ouvrir GESTION COURANTE &gt; Gestion Caisse
2. Utiliser la recherche / les filtres de l'écran
3. Imprimer ou exporter si l'écran le propose</t>
  </si>
  <si>
    <t xml:space="preserve">Liste de Caisse</t>
  </si>
  <si>
    <t xml:space="preserve">1. Ouvrir GESTION COURANTE &gt; Liste de Caisse
2. Utiliser la recherche / les filtres de l'écran
3. Imprimer ou exporter si l'écran le propose</t>
  </si>
  <si>
    <t xml:space="preserve">1. Ouvrir GESTION COURANTE &gt; Balance Vente/Caisse
2. Utiliser la recherche / les filtres de l'écran
3. Imprimer ou exporter si l'écran le propose</t>
  </si>
  <si>
    <t xml:space="preserve">recette/recette-ecrans.js : ouvert par son composant (entrée introuvable sous ce libellé), chargé en 11.4 s, 1 écriture(s) interceptée(s) — exécuté le 24/10/2026 sur le banc</t>
  </si>
  <si>
    <t xml:space="preserve">Balance Depot</t>
  </si>
  <si>
    <t xml:space="preserve">1. Ouvrir GESTION COURANTE &gt; Balance Depot
2. Utiliser la recherche / les filtres de l'écran
3. Imprimer ou exporter si l'écran le propose</t>
  </si>
  <si>
    <t xml:space="preserve">Point Caisse Depot</t>
  </si>
  <si>
    <t xml:space="preserve">1. Ouvrir GESTION COURANTE &gt; Point Caisse Depot
2. Utiliser la recherche / les filtres de l'écran
3. Imprimer ou exporter si l'écran le propose</t>
  </si>
  <si>
    <t xml:space="preserve">recette/recette-ecrans.js : écran court, bien dessiné (160 px, vérifié sur capture) ; ouvert par son composant (entrée introuvable sous ce libellé), chargé en 11.6 s — exécuté le 24/10/2026 sur le banc</t>
  </si>
  <si>
    <t xml:space="preserve">Liste des mouvements</t>
  </si>
  <si>
    <t xml:space="preserve">1. Ouvrir GESTION COURANTE &gt; Liste des mouvements
2. Utiliser la recherche / les filtres de l'écran
3. Imprimer ou exporter si l'écran le propose</t>
  </si>
  <si>
    <t xml:space="preserve">recette/recette-ecrans.js : Entrée absente du menu de l'administrateur (non affichée, écran inexistant ou non chargé) : rien à tester par le menu — exécuté le 24/10/2026 sur le banc</t>
  </si>
  <si>
    <t xml:space="preserve">Balance para</t>
  </si>
  <si>
    <t xml:space="preserve">1. Ouvrir GESTION COURANTE &gt; Balance para
2. Utiliser la recherche / les filtres de l'écran
3. Imprimer ou exporter si l'écran le propose</t>
  </si>
  <si>
    <t xml:space="preserve">Liste des bons</t>
  </si>
  <si>
    <t xml:space="preserve">1. Ouvrir GESTION COURANTE &gt; Liste des bons
2. Utiliser la recherche / les filtres de l'écran
3. Imprimer ou exporter si l'écran le propose</t>
  </si>
  <si>
    <t xml:space="preserve">recette/recette-ecrans.js : ouvert par le menu, chargé en 1.3 s — exécuté le 24/10/2026 sur le banc</t>
  </si>
  <si>
    <t xml:space="preserve">Articles vendus récap</t>
  </si>
  <si>
    <t xml:space="preserve">1. Ouvrir GESTION COURANTE &gt; Articles vendus récap
2. Utiliser la recherche / les filtres de l'écran
3. Imprimer ou exporter si l'écran le propose</t>
  </si>
  <si>
    <t xml:space="preserve">Caisse/recette</t>
  </si>
  <si>
    <t xml:space="preserve">1. Ouvrir GESTION COURANTE &gt; Caisse/recette
2. Utiliser la recherche / les filtres de l'écran
3. Imprimer ou exporter si l'écran le propose</t>
  </si>
  <si>
    <t xml:space="preserve">Liste des articles vendus</t>
  </si>
  <si>
    <t xml:space="preserve">1. Ouvrir GESTION COURANTE &gt; Liste des articles vendus
2. Utiliser la recherche / les filtres de l'écran
3. Imprimer ou exporter si l'écran le propose</t>
  </si>
  <si>
    <t xml:space="preserve">recette/recette-ecrans.js : ouvert par le menu, chargé en 1.4 s — exécuté le 24/10/2026 sur le banc</t>
  </si>
  <si>
    <t xml:space="preserve">Mouchard prix de vente</t>
  </si>
  <si>
    <t xml:space="preserve">1. Ouvrir GESTION COURANTE &gt; Mouchard prix de vente
2. Utiliser la recherche / les filtres de l'écran
3. Imprimer ou exporter si l'écran le propose</t>
  </si>
  <si>
    <t xml:space="preserve">PRESTIGE — Cahier de recette — FACTURATION</t>
  </si>
  <si>
    <t xml:space="preserve">Gestion des différés</t>
  </si>
  <si>
    <t xml:space="preserve">Régler un différé</t>
  </si>
  <si>
    <t xml:space="preserve">Client avec ventes en différé</t>
  </si>
  <si>
    <t xml:space="preserve">1. Choisir le client
2. Saisir un règlement partiel puis total</t>
  </si>
  <si>
    <t xml:space="preserve">Solde mis à jour ; règlement non compté deux fois ; ticket de règlement</t>
  </si>
  <si>
    <t xml:space="preserve">retours/test-differes-reglement.js : 14/14 OK</t>
  </si>
  <si>
    <t xml:space="preserve">Factures</t>
  </si>
  <si>
    <t xml:space="preserve">Générer les factures tiers-payant</t>
  </si>
  <si>
    <t xml:space="preserve">Bons de la période</t>
  </si>
  <si>
    <t xml:space="preserve">1. Générer pour un organisme</t>
  </si>
  <si>
    <t xml:space="preserve">Facture créée avec les bons ; impression et export</t>
  </si>
  <si>
    <t xml:space="preserve">facturation/test-cachet-facture.js : 11/11 OK
Non couvert : edition d'une facture existante verifiee ; generation des factures d'un organisme non jouee</t>
  </si>
  <si>
    <t xml:space="preserve">Liste des Reglements</t>
  </si>
  <si>
    <t xml:space="preserve">Régler une facture</t>
  </si>
  <si>
    <t xml:space="preserve">Facture émise</t>
  </si>
  <si>
    <t xml:space="preserve">1. Saisir le règlement</t>
  </si>
  <si>
    <t xml:space="preserve">Facture soldée ou partiellement réglée ; balance âgée à jour</t>
  </si>
  <si>
    <t xml:space="preserve">reglement/test-liste-reglements.js : 19/19 PASS
Non couvert : liste et exports verifies ; saisie d'un reglement de facture non jouee</t>
  </si>
  <si>
    <t xml:space="preserve">1. Ouvrir FACTURATION &gt; Gestion des différés
2. Utiliser la recherche / les filtres de l'écran
3. Imprimer ou exporter si l'écran le propose</t>
  </si>
  <si>
    <t xml:space="preserve">recette/recette-ecrans.js : ouvert par son composant (entrée introuvable sous ce libellé), chargé en 11.6 s — exécuté le 24/10/2026 sur le banc</t>
  </si>
  <si>
    <t xml:space="preserve">1. Ouvrir FACTURATION &gt; Liste des Reglements
2. Utiliser la recherche / les filtres de l'écran
3. Imprimer ou exporter si l'écran le propose</t>
  </si>
  <si>
    <t xml:space="preserve">recette/recette-ecrans.js : ouvert par le menu, chargé en 1.2 s — exécuté le 24/10/2026 sur le banc</t>
  </si>
  <si>
    <t xml:space="preserve">1. Ouvrir FACTURATION &gt; Factures
2. Utiliser la recherche / les filtres de l'écran
3. Imprimer ou exporter si l'écran le propose</t>
  </si>
  <si>
    <t xml:space="preserve">Dossiers à facturer</t>
  </si>
  <si>
    <t xml:space="preserve">1. Ouvrir FACTURATION &gt; Dossiers à facturer
2. Utiliser la recherche / les filtres de l'écran
3. Imprimer ou exporter si l'écran le propose</t>
  </si>
  <si>
    <t xml:space="preserve">Récap par organisme</t>
  </si>
  <si>
    <t xml:space="preserve">1. Ouvrir FACTURATION &gt; Récap par organisme
2. Utiliser la recherche / les filtres de l'écran
3. Imprimer ou exporter si l'écran le propose</t>
  </si>
  <si>
    <t xml:space="preserve">recette/recette-ecrans.js : ouvert par le menu, chargé en 2.6 s — exécuté le 24/10/2026 sur le banc</t>
  </si>
  <si>
    <t xml:space="preserve">Factures Compagnies Ass</t>
  </si>
  <si>
    <t xml:space="preserve">1. Ouvrir FACTURATION &gt; Factures Compagnies Ass
2. Utiliser la recherche / les filtres de l'écran
3. Imprimer ou exporter si l'écran le propose</t>
  </si>
  <si>
    <t xml:space="preserve">recette/recette-ecrans.js : ouvert par son composant (entrée introuvable sous ce libellé), chargé en 11.5 s, 1 écriture(s) interceptée(s) — exécuté le 24/10/2026 sur le banc</t>
  </si>
  <si>
    <t xml:space="preserve">Factures provisoires</t>
  </si>
  <si>
    <t xml:space="preserve">1. Ouvrir FACTURATION &gt; Factures provisoires
2. Utiliser la recherche / les filtres de l'écran
3. Imprimer ou exporter si l'écran le propose</t>
  </si>
  <si>
    <t xml:space="preserve">Modèle de facture</t>
  </si>
  <si>
    <t xml:space="preserve">1. Ouvrir FACTURATION &gt; Modèle de facture
2. Utiliser la recherche / les filtres de l'écran
3. Imprimer ou exporter si l'écran le propose</t>
  </si>
  <si>
    <t xml:space="preserve">Suivi des bons</t>
  </si>
  <si>
    <t xml:space="preserve">1. Ouvrir FACTURATION &gt; Suivi des bons
2. Utiliser la recherche / les filtres de l'écran
3. Imprimer ou exporter si l'écran le propose</t>
  </si>
  <si>
    <t xml:space="preserve">recette/recette-ecrans.js : ouvert par son composant (entrée introuvable sous ce libellé), chargé en 11.3 s — exécuté le 24/10/2026 sur le banc</t>
  </si>
  <si>
    <t xml:space="preserve">Modèles de facture</t>
  </si>
  <si>
    <t xml:space="preserve">1. Ouvrir FACTURATION &gt; Modèles de facture
2. Utiliser la recherche / les filtres de l'écran
3. Imprimer ou exporter si l'écran le propose</t>
  </si>
  <si>
    <t xml:space="preserve">PRESTIGE — Cahier de recette — GESTION DES PROMOTIONS</t>
  </si>
  <si>
    <t xml:space="preserve">Promotions</t>
  </si>
  <si>
    <t xml:space="preserve">1. Ouvrir GESTION DES PROMOTIONS &gt; Promotions
2. Utiliser la recherche / les filtres de l'écran
3. Imprimer ou exporter si l'écran le propose</t>
  </si>
  <si>
    <t xml:space="preserve">recette/recette-ecrans.js : ouvert par son composant (entrée introuvable sous ce libellé), chargé en 20.9 s, 1 écriture(s) interceptée(s) — exécuté le 24/10/2026 sur le banc</t>
  </si>
  <si>
    <t xml:space="preserve">Historique des Promotions</t>
  </si>
  <si>
    <t xml:space="preserve">1. Ouvrir GESTION DES PROMOTIONS &gt; Historique des Promotions
2. Utiliser la recherche / les filtres de l'écran
3. Imprimer ou exporter si l'écran le propose</t>
  </si>
  <si>
    <t xml:space="preserve">recette/recette-ecrans.js : ouvert par son composant (entrée introuvable sous ce libellé), chargé en 20.9 s — exécuté le 24/10/2026 sur le banc</t>
  </si>
  <si>
    <t xml:space="preserve">PRESTIGE — Cahier de recette — GESTION DES TIERS-PAYANTS</t>
  </si>
  <si>
    <t xml:space="preserve">Tiers-payants</t>
  </si>
  <si>
    <t xml:space="preserve">Créer / modifier un tiers-payant</t>
  </si>
  <si>
    <t xml:space="preserve">Droit</t>
  </si>
  <si>
    <t xml:space="preserve">1. Créer, enregistrer, modifier le plafond</t>
  </si>
  <si>
    <t xml:space="preserve">Fiche enregistrée ; plafond pris en compte à la vente</t>
  </si>
  <si>
    <t xml:space="preserve">etape2/test-tp-maj-selective.js : 31/31 assertions
Non couvert : modification verifiee ; creation non jouee</t>
  </si>
  <si>
    <t xml:space="preserve">Tiers payants désactivés</t>
  </si>
  <si>
    <t xml:space="preserve">Lister et réactiver</t>
  </si>
  <si>
    <t xml:space="preserve">Tiers-payant désactivé</t>
  </si>
  <si>
    <t xml:space="preserve">1. Ouvrir la liste
2. Rechercher par nom</t>
  </si>
  <si>
    <t xml:space="preserve">Seuls les désactivés apparaissent ; recherche OK</t>
  </si>
  <si>
    <t xml:space="preserve">journal/test-tiers-payants-desactives.js : 5/5 OK</t>
  </si>
  <si>
    <t xml:space="preserve">Clients</t>
  </si>
  <si>
    <t xml:space="preserve">Créer un client assuré</t>
  </si>
  <si>
    <t xml:space="preserve">Tiers-payant</t>
  </si>
  <si>
    <t xml:space="preserve">1. Créer le client avec matricule et taux</t>
  </si>
  <si>
    <t xml:space="preserve">Client utilisable en vente assurance</t>
  </si>
  <si>
    <t xml:space="preserve">Pas de test automatique de creation de client assure : a faire a la main</t>
  </si>
  <si>
    <t xml:space="preserve">Retour carnet dépôt</t>
  </si>
  <si>
    <t xml:space="preserve">Retour avec code lu à la douchette</t>
  </si>
  <si>
    <t xml:space="preserve">Tiers-payant carnet</t>
  </si>
  <si>
    <t xml:space="preserve">1. Nouveau retour, choisir le tiers-payant
2. Scanner le produit</t>
  </si>
  <si>
    <t xml:space="preserve">Produit trouvé ; code envoyé encodé (codes avec / ou # acceptés)</t>
  </si>
  <si>
    <t xml:space="preserve">journal/test-retour-carnet-code-encode.js : 3/3 OK</t>
  </si>
  <si>
    <t xml:space="preserve">Balance agée détaillée</t>
  </si>
  <si>
    <t xml:space="preserve">Balance âgée</t>
  </si>
  <si>
    <t xml:space="preserve">Factures non réglées</t>
  </si>
  <si>
    <t xml:space="preserve">1. Ouvrir, filtrer par organisme</t>
  </si>
  <si>
    <t xml:space="preserve">Montants par tranche d'âge cohérents avec les factures</t>
  </si>
  <si>
    <t xml:space="preserve">Pas de test automatique des montants de la balance agee : a faire a la main</t>
  </si>
  <si>
    <t xml:space="preserve">1. Ouvrir GESTION DES TIERS-PAYANTS &gt; Balance agée détaillée
2. Utiliser la recherche / les filtres de l'écran
3. Imprimer ou exporter si l'écran le propose</t>
  </si>
  <si>
    <t xml:space="preserve">recette/recette-ecrans.js : ouvert par le menu, chargé en 3.0 s — exécuté le 24/10/2026 sur le banc</t>
  </si>
  <si>
    <t xml:space="preserve">Groupe et Compagnie d'Ass</t>
  </si>
  <si>
    <t xml:space="preserve">1. Ouvrir GESTION DES TIERS-PAYANTS &gt; Groupe et Compagnie d'Ass
2. Utiliser la recherche / les filtres de l'écran
3. Imprimer ou exporter si l'écran le propose</t>
  </si>
  <si>
    <t xml:space="preserve">Emplacements/Depot</t>
  </si>
  <si>
    <t xml:space="preserve">1. Ouvrir GESTION DES TIERS-PAYANTS &gt; Emplacements/Depot
2. Utiliser la recherche / les filtres de l'écran
3. Imprimer ou exporter si l'écran le propose</t>
  </si>
  <si>
    <t xml:space="preserve">Gestion des litiges</t>
  </si>
  <si>
    <t xml:space="preserve">1. Ouvrir GESTION DES TIERS-PAYANTS &gt; Gestion des litiges
2. Utiliser la recherche / les filtres de l'écran
3. Imprimer ou exporter si l'écran le propose</t>
  </si>
  <si>
    <t xml:space="preserve">recette/recette-ecrans.js : ouvert par son composant (entrée introuvable sous ce libellé), chargé en 11.4 s — exécuté le 24/10/2026 sur le banc</t>
  </si>
  <si>
    <t xml:space="preserve">1. Ouvrir GESTION DES TIERS-PAYANTS &gt; Tiers payants désactivés
2. Utiliser la recherche / les filtres de l'écran
3. Imprimer ou exporter si l'écran le propose</t>
  </si>
  <si>
    <t xml:space="preserve">Balance âgée récap</t>
  </si>
  <si>
    <t xml:space="preserve">1. Ouvrir GESTION DES TIERS-PAYANTS &gt; Balance âgée récap
2. Utiliser la recherche / les filtres de l'écran
3. Imprimer ou exporter si l'écran le propose</t>
  </si>
  <si>
    <t xml:space="preserve">recette/recette-ecrans.js : ouvert par le menu, chargé en 2.0 s — exécuté le 24/10/2026 sur le banc</t>
  </si>
  <si>
    <t xml:space="preserve">Clients désactivés</t>
  </si>
  <si>
    <t xml:space="preserve">1. Ouvrir GESTION DES TIERS-PAYANTS &gt; Clients désactivés
2. Utiliser la recherche / les filtres de l'écran
3. Imprimer ou exporter si l'écran le propose</t>
  </si>
  <si>
    <t xml:space="preserve">Type tiers-payants</t>
  </si>
  <si>
    <t xml:space="preserve">1. Ouvrir GESTION DES TIERS-PAYANTS &gt; Type tiers-payants
2. Utiliser la recherche / les filtres de l'écran
3. Imprimer ou exporter si l'écran le propose</t>
  </si>
  <si>
    <t xml:space="preserve">Taux Rembourssement</t>
  </si>
  <si>
    <t xml:space="preserve">1. Ouvrir GESTION DES TIERS-PAYANTS &gt; Taux Rembourssement
2. Utiliser la recherche / les filtres de l'écran
3. Imprimer ou exporter si l'écran le propose</t>
  </si>
  <si>
    <t xml:space="preserve">recette/recette-ecrans.js : ouvert par son composant (entrée introuvable sous ce libellé), chargé en 10.9 s — exécuté le 24/10/2026 sur le banc</t>
  </si>
  <si>
    <t xml:space="preserve">Dossiers Tiers-payants</t>
  </si>
  <si>
    <t xml:space="preserve">1. Ouvrir GESTION DES TIERS-PAYANTS &gt; Dossiers Tiers-payants
2. Utiliser la recherche / les filtres de l'écran
3. Imprimer ou exporter si l'écran le propose</t>
  </si>
  <si>
    <t xml:space="preserve">Grille de Remise</t>
  </si>
  <si>
    <t xml:space="preserve">1. Ouvrir GESTION DES TIERS-PAYANTS &gt; Grille de Remise
2. Utiliser la recherche / les filtres de l'écran
3. Imprimer ou exporter si l'écran le propose</t>
  </si>
  <si>
    <t xml:space="preserve">Regimes Caisse</t>
  </si>
  <si>
    <t xml:space="preserve">1. Ouvrir GESTION DES TIERS-PAYANTS &gt; Regimes Caisse
2. Utiliser la recherche / les filtres de l'écran
3. Imprimer ou exporter si l'écran le propose</t>
  </si>
  <si>
    <t xml:space="preserve">Remises</t>
  </si>
  <si>
    <t xml:space="preserve">1. Ouvrir GESTION DES TIERS-PAYANTS &gt; Remises
2. Utiliser la recherche / les filtres de l'écran
3. Imprimer ou exporter si l'écran le propose</t>
  </si>
  <si>
    <t xml:space="preserve">1. Ouvrir GESTION DES TIERS-PAYANTS &gt; Tiers-payants
2. Utiliser la recherche / les filtres de l'écran
3. Imprimer ou exporter si l'écran le propose</t>
  </si>
  <si>
    <t xml:space="preserve">1. Ouvrir GESTION DES TIERS-PAYANTS &gt; Clients
2. Utiliser la recherche / les filtres de l'écran
3. Imprimer ou exporter si l'écran le propose</t>
  </si>
  <si>
    <t xml:space="preserve">recette/recette-ecrans.js : ouvert par le menu, chargé en 1.8 s, 1 écriture(s) interceptée(s) — exécuté le 24/10/2026 sur le banc</t>
  </si>
  <si>
    <t xml:space="preserve">Societes</t>
  </si>
  <si>
    <t xml:space="preserve">1. Ouvrir GESTION DES TIERS-PAYANTS &gt; Societes
2. Utiliser la recherche / les filtres de l'écran
3. Imprimer ou exporter si l'écran le propose</t>
  </si>
  <si>
    <t xml:space="preserve">Gerer les tp a exclure</t>
  </si>
  <si>
    <t xml:space="preserve">1. Ouvrir GESTION DES TIERS-PAYANTS &gt; Gerer les tp a exclure
2. Utiliser la recherche / les filtres de l'écran
3. Imprimer ou exporter si l'écran le propose</t>
  </si>
  <si>
    <t xml:space="preserve">1. Ouvrir GESTION DES TIERS-PAYANTS &gt; Retour carnet dépôt
2. Utiliser la recherche / les filtres de l'écran
3. Imprimer ou exporter si l'écran le propose</t>
  </si>
  <si>
    <t xml:space="preserve">Tiers-payants exclus</t>
  </si>
  <si>
    <t xml:space="preserve">1. Ouvrir GESTION DES TIERS-PAYANTS &gt; Tiers-payants exclus
2. Utiliser la recherche / les filtres de l'écran
3. Imprimer ou exporter si l'écran le propose</t>
  </si>
  <si>
    <t xml:space="preserve">Depot carnet</t>
  </si>
  <si>
    <t xml:space="preserve">1. Ouvrir GESTION DES TIERS-PAYANTS &gt; Depot carnet
2. Utiliser la recherche / les filtres de l'écran
3. Imprimer ou exporter si l'écran le propose</t>
  </si>
  <si>
    <t xml:space="preserve">Gestion carnet dépôt</t>
  </si>
  <si>
    <t xml:space="preserve">1. Ouvrir GESTION DES TIERS-PAYANTS &gt; Gestion carnet dépôt
2. Utiliser la recherche / les filtres de l'écran
3. Imprimer ou exporter si l'écran le propose</t>
  </si>
  <si>
    <t xml:space="preserve">Balance carnet</t>
  </si>
  <si>
    <t xml:space="preserve">1. Ouvrir GESTION DES TIERS-PAYANTS &gt; Balance carnet
2. Utiliser la recherche / les filtres de l'écran
3. Imprimer ou exporter si l'écran le propose</t>
  </si>
  <si>
    <t xml:space="preserve">Cautions</t>
  </si>
  <si>
    <t xml:space="preserve">1. Ouvrir GESTION DES TIERS-PAYANTS &gt; Cautions
2. Utiliser la recherche / les filtres de l'écran
3. Imprimer ou exporter si l'écran le propose</t>
  </si>
  <si>
    <t xml:space="preserve">Gestion depots extensions</t>
  </si>
  <si>
    <t xml:space="preserve">1. Ouvrir GESTION DES TIERS-PAYANTS &gt; Gestion depots extensions
2. Utiliser la recherche / les filtres de l'écran
3. Imprimer ou exporter si l'écran le propose</t>
  </si>
  <si>
    <t xml:space="preserve">Catégorie Client</t>
  </si>
  <si>
    <t xml:space="preserve">1. Ouvrir GESTION DES TIERS-PAYANTS &gt; Catégorie Client
2. Utiliser la recherche / les filtres de l'écran
3. Imprimer ou exporter si l'écran le propose</t>
  </si>
  <si>
    <t xml:space="preserve">PRESTIGE — Cahier de recette — MENU PHARMACIEN</t>
  </si>
  <si>
    <t xml:space="preserve">Ventes modifiées</t>
  </si>
  <si>
    <t xml:space="preserve">1. Ouvrir MENU PHARMACIEN &gt; Ventes modifiées
2. Utiliser la recherche / les filtres de l'écran
3. Imprimer ou exporter si l'écran le propose</t>
  </si>
  <si>
    <t xml:space="preserve">recette/recette-ecrans.js : ouvert par son composant (entrée introuvable sous ce libellé), chargé en 21.0 s, 1 écriture(s) interceptée(s) — exécuté le 24/10/2026 sur le banc</t>
  </si>
  <si>
    <t xml:space="preserve">Fichier Journal</t>
  </si>
  <si>
    <t xml:space="preserve">1. Ouvrir MENU PHARMACIEN &gt; Fichier Journal
2. Utiliser la recherche / les filtres de l'écran
3. Imprimer ou exporter si l'écran le propose</t>
  </si>
  <si>
    <t xml:space="preserve">recette/recette-ecrans.js : ouvert par son composant (entrée introuvable sous ce libellé), chargé en 21.0 s — exécuté le 24/10/2026 sur le banc</t>
  </si>
  <si>
    <t xml:space="preserve">Articles en sur-stock</t>
  </si>
  <si>
    <t xml:space="preserve">1. Ouvrir MENU PHARMACIEN &gt; Articles en sur-stock
2. Utiliser la recherche / les filtres de l'écran
3. Imprimer ou exporter si l'écran le propose</t>
  </si>
  <si>
    <t xml:space="preserve">Gestion des surstocks</t>
  </si>
  <si>
    <t xml:space="preserve">1. Ouvrir MENU PHARMACIEN &gt; Gestion des surstocks
2. Utiliser la recherche / les filtres de l'écran
3. Imprimer ou exporter si l'écran le propose</t>
  </si>
  <si>
    <t xml:space="preserve">PRESTIGE — Cahier de recette — GESTION DES COMMANDES</t>
  </si>
  <si>
    <t xml:space="preserve">Suggestion de reappro.</t>
  </si>
  <si>
    <t xml:space="preserve">Générer la suggestion</t>
  </si>
  <si>
    <t xml:space="preserve">Ventes et stocks</t>
  </si>
  <si>
    <t xml:space="preserve">1. Générer</t>
  </si>
  <si>
    <t xml:space="preserve">Quantités proposées selon stock rayon + réserve, limitées à la capacité rayon</t>
  </si>
  <si>
    <t xml:space="preserve">retours/test-suggestion-reserve.js : 9/9 OK</t>
  </si>
  <si>
    <t xml:space="preserve">Commande en cours</t>
  </si>
  <si>
    <t xml:space="preserve">Passer une commande grossiste</t>
  </si>
  <si>
    <t xml:space="preserve">Grossiste paramétré</t>
  </si>
  <si>
    <t xml:space="preserve">1. Créer la commande, ajouter des lignes
2. Envoyer (PharmaML si configuré)</t>
  </si>
  <si>
    <t xml:space="preserve">Commande envoyée ; l'envoi PharmaML ne bloque pas l'écran</t>
  </si>
  <si>
    <t xml:space="preserve">retours/test-commande-pharmaml-v3.js : 6/6 OK
Non couvert : envoi a un faux grossiste local ; vrai grossiste PharmaML non joignable ici</t>
  </si>
  <si>
    <t xml:space="preserve">Gestion des entrées</t>
  </si>
  <si>
    <t xml:space="preserve">Réceptionner un BL</t>
  </si>
  <si>
    <t xml:space="preserve">Commande passée</t>
  </si>
  <si>
    <t xml:space="preserve">1. Saisir le BL : quantités, prix, lots, péremptions
2. Valider</t>
  </si>
  <si>
    <t xml:space="preserve">Stock augmenté ; BL refusé si des lignes ne sont pas saisies (produits nommés)</t>
  </si>
  <si>
    <t xml:space="preserve">retours/test-decision-12-reception-bl.js : 9/9 OK</t>
  </si>
  <si>
    <t xml:space="preserve">Gros BL (plusieurs centaines de lignes)</t>
  </si>
  <si>
    <t xml:space="preserve">BL de 400+ lignes</t>
  </si>
  <si>
    <t xml:space="preserve">1. Ouvrir le BL (écran ou application mobile)</t>
  </si>
  <si>
    <t xml:space="preserve">Toutes les lignes en moins de 8 s</t>
  </si>
  <si>
    <t xml:space="preserve">perf/test-lignes-bl-mobile.js : 5/5 OK</t>
  </si>
  <si>
    <t xml:space="preserve">Scan DataMatrix+/QR+ à la réception</t>
  </si>
  <si>
    <t xml:space="preserve">Étiquette 2D</t>
  </si>
  <si>
    <t xml:space="preserve">1. Scanner l'étiquette dans la commande en cours</t>
  </si>
  <si>
    <t xml:space="preserve">Prix et quantité repris ; produit créé si absent</t>
  </si>
  <si>
    <t xml:space="preserve">retours/test-reception-etiquettes.js : 19/19 OK</t>
  </si>
  <si>
    <t xml:space="preserve">Pointer BL et avoirs</t>
  </si>
  <si>
    <t xml:space="preserve">Pointage avec relevé grossiste PDF</t>
  </si>
  <si>
    <t xml:space="preserve">Relevé PDF du grossiste</t>
  </si>
  <si>
    <t xml:space="preserve">1. Importer le relevé
2. Rapprocher</t>
  </si>
  <si>
    <t xml:space="preserve">BL et avoirs rapprochés ; écarts listés ; modèle du grossiste mémorisé</t>
  </si>
  <si>
    <t xml:space="preserve">retours/test-pointage-bl.js : 18/18 OK
retours/test-releve-modele.js : 23/23 OK</t>
  </si>
  <si>
    <t xml:space="preserve">Retour fournisseur</t>
  </si>
  <si>
    <t xml:space="preserve">Retour au grossiste</t>
  </si>
  <si>
    <t xml:space="preserve">Produits à retourner</t>
  </si>
  <si>
    <t xml:space="preserve">1. Créer le retour : une ligne par produit/motif/lot
2. Valider</t>
  </si>
  <si>
    <t xml:space="preserve">Stock diminué ; retour en attente puis traité</t>
  </si>
  <si>
    <t xml:space="preserve">retours/test-retour-fournisseur-stock.js : 7/7 OK
retours/test-decision-17-d7-retour-motif.js : 9/9 OK</t>
  </si>
  <si>
    <t xml:space="preserve">Etat de contrôle Achats</t>
  </si>
  <si>
    <t xml:space="preserve">Contrôle des achats</t>
  </si>
  <si>
    <t xml:space="preserve">Achats de la période</t>
  </si>
  <si>
    <t xml:space="preserve">1. Filtrer</t>
  </si>
  <si>
    <t xml:space="preserve">Tableau de bord et filtres cohérents ; message complet (non tronqué)</t>
  </si>
  <si>
    <t xml:space="preserve">achats/test-controle-achats.js : 16/16 PASS</t>
  </si>
  <si>
    <t xml:space="preserve">Péremptions courtes</t>
  </si>
  <si>
    <t xml:space="preserve">Liste des péremptions courtes</t>
  </si>
  <si>
    <t xml:space="preserve">Lots à péremption proche</t>
  </si>
  <si>
    <t xml:space="preserve">1. Ouvrir, exporter PDF/Excel</t>
  </si>
  <si>
    <t xml:space="preserve">Lots listés avec dates ; exports corrects</t>
  </si>
  <si>
    <t xml:space="preserve">retours/test-peremptions-courtes-ecran.js : 7/7 OK</t>
  </si>
  <si>
    <t xml:space="preserve">1. Ouvrir GESTION DES COMMANDES &gt; Suggestion de reappro.
2. Utiliser la recherche / les filtres de l'écran
3. Imprimer ou exporter si l'écran le propose</t>
  </si>
  <si>
    <t xml:space="preserve">Prévisions</t>
  </si>
  <si>
    <t xml:space="preserve">1. Ouvrir GESTION DES COMMANDES &gt; Prévisions
2. Utiliser la recherche / les filtres de l'écran
3. Imprimer ou exporter si l'écran le propose</t>
  </si>
  <si>
    <t xml:space="preserve">1. Ouvrir GESTION DES COMMANDES &gt; Péremptions courtes
2. Utiliser la recherche / les filtres de l'écran
3. Imprimer ou exporter si l'écran le propose</t>
  </si>
  <si>
    <t xml:space="preserve">1. Ouvrir GESTION DES COMMANDES &gt; Commande en cours
2. Utiliser la recherche / les filtres de l'écran
3. Imprimer ou exporter si l'écran le propose</t>
  </si>
  <si>
    <t xml:space="preserve">Proposition Commande</t>
  </si>
  <si>
    <t xml:space="preserve">1. Ouvrir GESTION DES COMMANDES &gt; Proposition Commande
2. Utiliser la recherche / les filtres de l'écran
3. Imprimer ou exporter si l'écran le propose</t>
  </si>
  <si>
    <t xml:space="preserve">Validation Commande</t>
  </si>
  <si>
    <t xml:space="preserve">1. Ouvrir GESTION DES COMMANDES &gt; Validation Commande
2. Utiliser la recherche / les filtres de l'écran
3. Imprimer ou exporter si l'écran le propose</t>
  </si>
  <si>
    <t xml:space="preserve">Traitement Commande</t>
  </si>
  <si>
    <t xml:space="preserve">1. Ouvrir GESTION DES COMMANDES &gt; Traitement Commande
2. Utiliser la recherche / les filtres de l'écran
3. Imprimer ou exporter si l'écran le propose</t>
  </si>
  <si>
    <t xml:space="preserve">Transaction Commande</t>
  </si>
  <si>
    <t xml:space="preserve">1. Ouvrir GESTION DES COMMANDES &gt; Transaction Commande
2. Utiliser la recherche / les filtres de l'écran
3. Imprimer ou exporter si l'écran le propose</t>
  </si>
  <si>
    <t xml:space="preserve">1. Ouvrir GESTION DES COMMANDES &gt; Gestion des entrées
2. Utiliser la recherche / les filtres de l'écran
3. Imprimer ou exporter si l'écran le propose</t>
  </si>
  <si>
    <t xml:space="preserve">Enregistrement Commande</t>
  </si>
  <si>
    <t xml:space="preserve">1. Ouvrir GESTION DES COMMANDES &gt; Enregistrement Commande
2. Utiliser la recherche / les filtres de l'écran
3. Imprimer ou exporter si l'écran le propose</t>
  </si>
  <si>
    <t xml:space="preserve">Historique</t>
  </si>
  <si>
    <t xml:space="preserve">1. Ouvrir GESTION DES COMMANDES &gt; Historique
2. Utiliser la recherche / les filtres de l'écran
3. Imprimer ou exporter si l'écran le propose</t>
  </si>
  <si>
    <t xml:space="preserve">Liste des ruptures</t>
  </si>
  <si>
    <t xml:space="preserve">1. Ouvrir GESTION DES COMMANDES &gt; Liste des ruptures
2. Utiliser la recherche / les filtres de l'écran
3. Imprimer ou exporter si l'écran le propose</t>
  </si>
  <si>
    <t xml:space="preserve">1. Ouvrir GESTION DES COMMANDES &gt; Etat de contrôle Achats
2. Utiliser la recherche / les filtres de l'écran
3. Imprimer ou exporter si l'écran le propose</t>
  </si>
  <si>
    <t xml:space="preserve">Compte Client</t>
  </si>
  <si>
    <t xml:space="preserve">1. Ouvrir GESTION DES COMMANDES &gt; Compte Client
2. Utiliser la recherche / les filtres de l'écran
3. Imprimer ou exporter si l'écran le propose</t>
  </si>
  <si>
    <t xml:space="preserve">1. Ouvrir GESTION DES COMMANDES &gt; Pointer BL et avoirs
2. Utiliser la recherche / les filtres de l'écran
3. Imprimer ou exporter si l'écran le propose</t>
  </si>
  <si>
    <t xml:space="preserve">1. Ouvrir GESTION DES COMMANDES &gt; Retour fournisseur
2. Utiliser la recherche / les filtres de l'écran
3. Imprimer ou exporter si l'écran le propose</t>
  </si>
  <si>
    <t xml:space="preserve">Offres de prix</t>
  </si>
  <si>
    <t xml:space="preserve">1. Ouvrir GESTION DES COMMANDES &gt; Offres de prix
2. Utiliser la recherche / les filtres de l'écran
3. Imprimer ou exporter si l'écran le propose</t>
  </si>
  <si>
    <t xml:space="preserve">Liste des Lots</t>
  </si>
  <si>
    <t xml:space="preserve">1. Ouvrir GESTION DES COMMANDES &gt; Liste des Lots
2. Utiliser la recherche / les filtres de l'écran
3. Imprimer ou exporter si l'écran le propose</t>
  </si>
  <si>
    <t xml:space="preserve">Etat de control annuel</t>
  </si>
  <si>
    <t xml:space="preserve">1. Ouvrir GESTION DES COMMANDES &gt; Etat de control annuel
2. Utiliser la recherche / les filtres de l'écran
3. Imprimer ou exporter si l'écran le propose</t>
  </si>
  <si>
    <t xml:space="preserve">Unites Gratuites</t>
  </si>
  <si>
    <t xml:space="preserve">1. Ouvrir GESTION DES COMMANDES &gt; Unites Gratuites
2. Utiliser la recherche / les filtres de l'écran
3. Imprimer ou exporter si l'écran le propose</t>
  </si>
  <si>
    <t xml:space="preserve">Achats mensuels grossiste</t>
  </si>
  <si>
    <t xml:space="preserve">1. Ouvrir GESTION DES COMMANDES &gt; Achats mensuels grossiste
2. Utiliser la recherche / les filtres de l'écran
3. Imprimer ou exporter si l'écran le propose</t>
  </si>
  <si>
    <t xml:space="preserve">PRESTIGE — Cahier de recette — GESTION DU STOCK</t>
  </si>
  <si>
    <t xml:space="preserve">Fiche Article</t>
  </si>
  <si>
    <t xml:space="preserve">Créer / modifier un article</t>
  </si>
  <si>
    <t xml:space="preserve">1. Créer l'article (CIP, prix, famille, emplacement)
2. Modifier le prix</t>
  </si>
  <si>
    <t xml:space="preserve">Article vendable ; mouvement de prix tracé (Mouchard)</t>
  </si>
  <si>
    <t xml:space="preserve">retours/test-fiche-article-sans-jsp.js : 20/20 PASS
Non couvert : fiche par l'API REST verifiee ; trace du prix dans le mouchard non verifiee ici</t>
  </si>
  <si>
    <t xml:space="preserve">Travaux d'Inventaire</t>
  </si>
  <si>
    <t xml:space="preserve">Inventaire partiel</t>
  </si>
  <si>
    <t xml:space="preserve">Rayon choisi</t>
  </si>
  <si>
    <t xml:space="preserve">1. Créer l'inventaire limité aux produits du rayon
2. Saisir (CIP/GTIN/EAN)
3. Clôturer</t>
  </si>
  <si>
    <t xml:space="preserve">Écarts appliqués au stock ; auteur des saisies tracé</t>
  </si>
  <si>
    <t xml:space="preserve">retours/test-inventaire-creation-produits.js : 16/16 OK
retours/test-inventaire-saisie-cloture.js : 6/6 OK</t>
  </si>
  <si>
    <t xml:space="preserve">Ajustement du Stock</t>
  </si>
  <si>
    <t xml:space="preserve">Ajustement rayon</t>
  </si>
  <si>
    <t xml:space="preserve">Article</t>
  </si>
  <si>
    <t xml:space="preserve">1. Ajouter un ajustement avec motif
2. Valider</t>
  </si>
  <si>
    <t xml:space="preserve">Stock corrigé, mouvement tracé</t>
  </si>
  <si>
    <t xml:space="preserve">retours/test-ajustement-integrite.js : 9/9 OK</t>
  </si>
  <si>
    <t xml:space="preserve">Saisie des périmés</t>
  </si>
  <si>
    <t xml:space="preserve">Saisir des périmés</t>
  </si>
  <si>
    <t xml:space="preserve">Lots périmés</t>
  </si>
  <si>
    <t xml:space="preserve">1. Saisir le lot et la quantité</t>
  </si>
  <si>
    <t xml:space="preserve">Stock diminué ; périmé visible dans « Périmés rétirés du stock »</t>
  </si>
  <si>
    <t xml:space="preserve">Pas de test automatique de saisie des perimes : a faire a la main</t>
  </si>
  <si>
    <t xml:space="preserve">Gestion des réserves</t>
  </si>
  <si>
    <t xml:space="preserve">Réserve : ajout et réassort</t>
  </si>
  <si>
    <t xml:space="preserve">Article avec réserve</t>
  </si>
  <si>
    <t xml:space="preserve">1. Ajouter une ligne de réserve
2. Réassort vers le rayon</t>
  </si>
  <si>
    <t xml:space="preserve">Stocks rayon / réserve cohérents</t>
  </si>
  <si>
    <t xml:space="preserve">retours/test-reserve-ajout-ligne.js : 13/13 OK
Non couvert : ajout de ligne verifie ; reassort vers le rayon non joue</t>
  </si>
  <si>
    <t xml:space="preserve">Étiquettage Pro</t>
  </si>
  <si>
    <t xml:space="preserve">Imprimer des étiquettes</t>
  </si>
  <si>
    <t xml:space="preserve">Imprimante ou PDF</t>
  </si>
  <si>
    <t xml:space="preserve">1. Importer CSV/Excel ou saisir
2. Choisir le type de code
3. Imprimer</t>
  </si>
  <si>
    <t xml:space="preserve">Étiquettes conformes au modèle, codes lisibles</t>
  </si>
  <si>
    <t xml:space="preserve">retours/test-etiquetage-pro.js : 47/47 OK
Non couvert : PDF verifie ; impression sur l'imprimante d'etiquettes non verifiable ici</t>
  </si>
  <si>
    <t xml:space="preserve">Valorisation du stock</t>
  </si>
  <si>
    <t xml:space="preserve">Valorisation</t>
  </si>
  <si>
    <t xml:space="preserve">Stock</t>
  </si>
  <si>
    <t xml:space="preserve">1. Lancer la valorisation</t>
  </si>
  <si>
    <t xml:space="preserve">Valeur au prix d'achat et de vente cohérente avec l'état de stock</t>
  </si>
  <si>
    <t xml:space="preserve">retours/test-valorisation-archivee.js : 7/7 controles OK</t>
  </si>
  <si>
    <t xml:space="preserve">1. Ouvrir GESTION DU STOCK &gt; Fiche Article
2. Utiliser la recherche / les filtres de l'écran
3. Imprimer ou exporter si l'écran le propose</t>
  </si>
  <si>
    <t xml:space="preserve">Gestion des doublons</t>
  </si>
  <si>
    <t xml:space="preserve">1. Ouvrir GESTION DU STOCK &gt; Gestion des doublons
2. Utiliser la recherche / les filtres de l'écran
3. Imprimer ou exporter si l'écran le propose</t>
  </si>
  <si>
    <t xml:space="preserve">Retour dépot</t>
  </si>
  <si>
    <t xml:space="preserve">1. Ouvrir GESTION DU STOCK &gt; Retour dépot
2. Utiliser la recherche / les filtres de l'écran
3. Imprimer ou exporter si l'écran le propose</t>
  </si>
  <si>
    <t xml:space="preserve">Détails</t>
  </si>
  <si>
    <t xml:space="preserve">1. Ouvrir GESTION DU STOCK &gt; Détails
2. Utiliser la recherche / les filtres de l'écran
3. Imprimer ou exporter si l'écran le propose</t>
  </si>
  <si>
    <t xml:space="preserve">recette/recette-ecrans.js : ouvert par son composant (entrée introuvable sous ce libellé), chargé en 11.1 s — exécuté le 24/10/2026 sur le banc</t>
  </si>
  <si>
    <t xml:space="preserve">Produits</t>
  </si>
  <si>
    <t xml:space="preserve">1. Ouvrir GESTION DU STOCK &gt; Produits
2. Utiliser la recherche / les filtres de l'écran
3. Imprimer ou exporter si l'écran le propose</t>
  </si>
  <si>
    <t xml:space="preserve">Emplacement</t>
  </si>
  <si>
    <t xml:space="preserve">1. Ouvrir GESTION DU STOCK &gt; Emplacement
2. Utiliser la recherche / les filtres de l'écran
3. Imprimer ou exporter si l'écran le propose</t>
  </si>
  <si>
    <t xml:space="preserve">Produits par code géo</t>
  </si>
  <si>
    <t xml:space="preserve">1. Ouvrir GESTION DU STOCK &gt; Produits par code géo
2. Utiliser la recherche / les filtres de l'écran
3. Imprimer ou exporter si l'écran le propose</t>
  </si>
  <si>
    <t xml:space="preserve">Liste Articles Désactivés</t>
  </si>
  <si>
    <t xml:space="preserve">1. Ouvrir GESTION DU STOCK &gt; Liste Articles Désactivés
2. Utiliser la recherche / les filtres de l'écran
3. Imprimer ou exporter si l'écran le propose</t>
  </si>
  <si>
    <t xml:space="preserve">Suivi mouvement article</t>
  </si>
  <si>
    <t xml:space="preserve">1. Ouvrir GESTION DU STOCK &gt; Suivi mouvement article
2. Utiliser la recherche / les filtres de l'écran
3. Imprimer ou exporter si l'écran le propose</t>
  </si>
  <si>
    <t xml:space="preserve">Suivi mouvement article2</t>
  </si>
  <si>
    <t xml:space="preserve">1. Ouvrir GESTION DU STOCK &gt; Suivi mouvement article2
2. Utiliser la recherche / les filtres de l'écran
3. Imprimer ou exporter si l'écran le propose</t>
  </si>
  <si>
    <t xml:space="preserve">Entrées / sorties détail</t>
  </si>
  <si>
    <t xml:space="preserve">1. Ouvrir GESTION DU STOCK &gt; Entrées / sorties détail
2. Utiliser la recherche / les filtres de l'écran
3. Imprimer ou exporter si l'écran le propose</t>
  </si>
  <si>
    <t xml:space="preserve">recette/recette-ecrans.js : ouvert par son composant (entrée introuvable sous ce libellé), chargé en 11.0 s, 1 écriture(s) interceptée(s) — exécuté le 24/10/2026 sur le banc</t>
  </si>
  <si>
    <t xml:space="preserve">Vente Par Produit</t>
  </si>
  <si>
    <t xml:space="preserve">1. Ouvrir GESTION DU STOCK &gt; Vente Par Produit
2. Utiliser la recherche / les filtres de l'écran
3. Imprimer ou exporter si l'écran le propose</t>
  </si>
  <si>
    <t xml:space="preserve">Evaluation des ventes</t>
  </si>
  <si>
    <t xml:space="preserve">1. Ouvrir GESTION DU STOCK &gt; Evaluation des ventes
2. Utiliser la recherche / les filtres de l'écran
3. Imprimer ou exporter si l'écran le propose</t>
  </si>
  <si>
    <t xml:space="preserve">recette/recette-ecrans.js : ouvert par le menu, chargé en 2.4 s — exécuté le 24/10/2026 sur le banc</t>
  </si>
  <si>
    <t xml:space="preserve">Articles Mouvementés</t>
  </si>
  <si>
    <t xml:space="preserve">1. Ouvrir GESTION DU STOCK &gt; Articles Mouvementés
2. Utiliser la recherche / les filtres de l'écran
3. Imprimer ou exporter si l'écran le propose</t>
  </si>
  <si>
    <t xml:space="preserve">recette/recette-ecrans.js : ouvert par son composant (entrée introuvable sous ce libellé), chargé en 11.6 s, 1 écriture(s) interceptée(s) — exécuté le 24/10/2026 sur le banc</t>
  </si>
  <si>
    <t xml:space="preserve">Suivi du stock et ventes</t>
  </si>
  <si>
    <t xml:space="preserve">1. Ouvrir GESTION DU STOCK &gt; Suivi du stock et ventes
2. Utiliser la recherche / les filtres de l'écran
3. Imprimer ou exporter si l'écran le propose</t>
  </si>
  <si>
    <t xml:space="preserve">Articles invendus</t>
  </si>
  <si>
    <t xml:space="preserve">1. Ouvrir GESTION DU STOCK &gt; Articles invendus
2. Utiliser la recherche / les filtres de l'écran
3. Imprimer ou exporter si l'écran le propose</t>
  </si>
  <si>
    <t xml:space="preserve">Gamme produits</t>
  </si>
  <si>
    <t xml:space="preserve">1. Ouvrir GESTION DU STOCK &gt; Gamme produits
2. Utiliser la recherche / les filtres de l'écran
3. Imprimer ou exporter si l'écran le propose</t>
  </si>
  <si>
    <t xml:space="preserve">Etat de stock</t>
  </si>
  <si>
    <t xml:space="preserve">1. Ouvrir GESTION DU STOCK &gt; Etat de stock
2. Utiliser la recherche / les filtres de l'écran
3. Imprimer ou exporter si l'écran le propose</t>
  </si>
  <si>
    <t xml:space="preserve">Laboratoire produits</t>
  </si>
  <si>
    <t xml:space="preserve">1. Ouvrir GESTION DU STOCK &gt; Laboratoire produits
2. Utiliser la recherche / les filtres de l'écran
3. Imprimer ou exporter si l'écran le propose</t>
  </si>
  <si>
    <t xml:space="preserve">1. Ouvrir GESTION DU STOCK &gt; Travaux d'Inventaire
2. Utiliser la recherche / les filtres de l'écran
3. Imprimer ou exporter si l'écran le propose</t>
  </si>
  <si>
    <t xml:space="preserve">Mise à jour produits</t>
  </si>
  <si>
    <t xml:space="preserve">1. Ouvrir GESTION DU STOCK &gt; Mise à jour produits
2. Utiliser la recherche / les filtres de l'écran
3. Imprimer ou exporter si l'écran le propose</t>
  </si>
  <si>
    <t xml:space="preserve">recette/recette-ecrans.js : écran court, bien dessiné (185 px, vérifié sur capture) ; ouvert par son composant (entrée introuvable sous ce libellé), chargé en 11.5 s — exécuté le 24/10/2026 sur le banc</t>
  </si>
  <si>
    <t xml:space="preserve">Annulés en inventaire</t>
  </si>
  <si>
    <t xml:space="preserve">1. Ouvrir GESTION DU STOCK &gt; Annulés en inventaire
2. Utiliser la recherche / les filtres de l'écran
3. Imprimer ou exporter si l'écran le propose</t>
  </si>
  <si>
    <t xml:space="preserve">Ventes par produit</t>
  </si>
  <si>
    <t xml:space="preserve">1. Ouvrir GESTION DU STOCK &gt; Ventes par produit
2. Utiliser la recherche / les filtres de l'écran
3. Imprimer ou exporter si l'écran le propose</t>
  </si>
  <si>
    <t xml:space="preserve">1. Ouvrir GESTION DU STOCK &gt; Ajustement du Stock
2. Utiliser la recherche / les filtres de l'écran
3. Imprimer ou exporter si l'écran le propose</t>
  </si>
  <si>
    <t xml:space="preserve">Comparaison stock article</t>
  </si>
  <si>
    <t xml:space="preserve">1. Ouvrir GESTION DU STOCK &gt; Comparaison stock article
2. Utiliser la recherche / les filtres de l'écran
3. Imprimer ou exporter si l'écran le propose</t>
  </si>
  <si>
    <t xml:space="preserve">1. Ouvrir GESTION DU STOCK &gt; Saisie des périmés
2. Utiliser la recherche / les filtres de l'écran
3. Imprimer ou exporter si l'écran le propose</t>
  </si>
  <si>
    <t xml:space="preserve">Gestion des périmés</t>
  </si>
  <si>
    <t xml:space="preserve">1. Ouvrir GESTION DU STOCK &gt; Gestion des périmés
2. Utiliser la recherche / les filtres de l'écran
3. Imprimer ou exporter si l'écran le propose</t>
  </si>
  <si>
    <t xml:space="preserve">Recherche périmés</t>
  </si>
  <si>
    <t xml:space="preserve">1. Ouvrir GESTION DU STOCK &gt; Recherche périmés
2. Utiliser la recherche / les filtres de l'écran
3. Imprimer ou exporter si l'écran le propose</t>
  </si>
  <si>
    <t xml:space="preserve">Périmés rétirés du stock</t>
  </si>
  <si>
    <t xml:space="preserve">1. Ouvrir GESTION DU STOCK &gt; Périmés rétirés du stock
2. Utiliser la recherche / les filtres de l'écran
3. Imprimer ou exporter si l'écran le propose</t>
  </si>
  <si>
    <t xml:space="preserve">Gestion étiquette</t>
  </si>
  <si>
    <t xml:space="preserve">1. Ouvrir GESTION DU STOCK &gt; Gestion étiquette
2. Utiliser la recherche / les filtres de l'écran
3. Imprimer ou exporter si l'écran le propose</t>
  </si>
  <si>
    <t xml:space="preserve">1. Ouvrir GESTION DU STOCK &gt; Étiquettage Pro
2. Utiliser la recherche / les filtres de l'écran
3. Imprimer ou exporter si l'écran le propose</t>
  </si>
  <si>
    <t xml:space="preserve">recette/recette-ecrans.js : ouvert par le menu, chargé en 2.1 s — exécuté le 24/10/2026 sur le banc</t>
  </si>
  <si>
    <t xml:space="preserve">1. Ouvrir GESTION DU STOCK &gt; Valorisation du stock
2. Utiliser la recherche / les filtres de l'écran
3. Imprimer ou exporter si l'écran le propose</t>
  </si>
  <si>
    <t xml:space="preserve">1. Ouvrir GESTION DU STOCK &gt; Gestion des réserves
2. Utiliser la recherche / les filtres de l'écran
3. Imprimer ou exporter si l'écran le propose</t>
  </si>
  <si>
    <t xml:space="preserve">Optimisation quantite</t>
  </si>
  <si>
    <t xml:space="preserve">1. Ouvrir GESTION DU STOCK &gt; Optimisation quantite
2. Utiliser la recherche / les filtres de l'écran
3. Imprimer ou exporter si l'écran le propose</t>
  </si>
  <si>
    <t xml:space="preserve">Gerer Code Gestion</t>
  </si>
  <si>
    <t xml:space="preserve">1. Ouvrir GESTION DU STOCK &gt; Gerer Code Gestion
2. Utiliser la recherche / les filtres de l'écran
3. Imprimer ou exporter si l'écran le propose</t>
  </si>
  <si>
    <t xml:space="preserve">recette/recette-ecrans.js : ouvert par le menu, chargé en 1.6 s — exécuté le 24/10/2026 sur le banc</t>
  </si>
  <si>
    <t xml:space="preserve">Liste Article Vendus</t>
  </si>
  <si>
    <t xml:space="preserve">1. Ouvrir GESTION DU STOCK &gt; Liste Article Vendus
2. Utiliser la recherche / les filtres de l'écran
3. Imprimer ou exporter si l'écran le propose</t>
  </si>
  <si>
    <t xml:space="preserve">Evolution Stock</t>
  </si>
  <si>
    <t xml:space="preserve">1. Ouvrir GESTION DU STOCK &gt; Evolution Stock
2. Utiliser la recherche / les filtres de l'écran
3. Imprimer ou exporter si l'écran le propose</t>
  </si>
  <si>
    <t xml:space="preserve">Suivi article complet</t>
  </si>
  <si>
    <t xml:space="preserve">1. Ouvrir GESTION DU STOCK &gt; Suivi article complet
2. Utiliser la recherche / les filtres de l'écran
3. Imprimer ou exporter si l'écran le propose</t>
  </si>
  <si>
    <t xml:space="preserve">Set valorisation</t>
  </si>
  <si>
    <t xml:space="preserve">1. Ouvrir GESTION DU STOCK &gt; Set valorisation
2. Utiliser la recherche / les filtres de l'écran
3. Imprimer ou exporter si l'écran le propose</t>
  </si>
  <si>
    <t xml:space="preserve">PRESTIGE — Cahier de recette — PARAMETRAGES</t>
  </si>
  <si>
    <t xml:space="preserve">Fournisseurs SMS</t>
  </si>
  <si>
    <t xml:space="preserve">Configurer Orange / LeTexto</t>
  </si>
  <si>
    <t xml:space="preserve">Identifiants du fournisseur</t>
  </si>
  <si>
    <t xml:space="preserve">1. Ouvrir la fiche
2. Renseigner les champs (indications grisées)
3. Tester
4. Mettre en vigueur</t>
  </si>
  <si>
    <t xml:space="preserve">Test OK ; fournisseur en vigueur ; secrets jamais réaffichés</t>
  </si>
  <si>
    <t xml:space="preserve">support/test-sms-configuration-sans-secret.js : 6/6 OK
Non couvert : fiche et indications verifiees ; test d'envoi et mise en vigueur demandent de vrais identifiants</t>
  </si>
  <si>
    <t xml:space="preserve">Secrets masqués</t>
  </si>
  <si>
    <t xml:space="preserve">Fiche avec client secret</t>
  </si>
  <si>
    <t xml:space="preserve">1. Rouvrir la fiche</t>
  </si>
  <si>
    <t xml:space="preserve">Le secret apparaît masqué ; laisser le masque ne le change pas</t>
  </si>
  <si>
    <t xml:space="preserve">Pas de test automatique du masquage dans la fiche : a faire a la main</t>
  </si>
  <si>
    <t xml:space="preserve">Paramétrage général</t>
  </si>
  <si>
    <t xml:space="preserve">Modifier un paramètre</t>
  </si>
  <si>
    <t xml:space="preserve">1. Modifier une valeur, enregistrer</t>
  </si>
  <si>
    <t xml:space="preserve">Valeur prise en compte sans redémarrage</t>
  </si>
  <si>
    <t xml:space="preserve">retours/test-parametres-rubriques.js : 8/8 OK
Non couvert : affichage par rubrique verifie ; prise en compte d'une modification non jouee</t>
  </si>
  <si>
    <t xml:space="preserve">Identification Pharmacie</t>
  </si>
  <si>
    <t xml:space="preserve">Informations officine</t>
  </si>
  <si>
    <t xml:space="preserve">1. Modifier le nom abrégé</t>
  </si>
  <si>
    <t xml:space="preserve">Nom repris sur tickets et badges</t>
  </si>
  <si>
    <t xml:space="preserve">Pas de test automatique : a faire a la main</t>
  </si>
  <si>
    <t xml:space="preserve">Gestion des devises</t>
  </si>
  <si>
    <t xml:space="preserve">1. Ouvrir PARAMETRAGES &gt; Gestion des devises
2. Utiliser la recherche / les filtres de l'écran
3. Imprimer ou exporter si l'écran le propose</t>
  </si>
  <si>
    <t xml:space="preserve">Menu personnel</t>
  </si>
  <si>
    <t xml:space="preserve">1. Ouvrir PARAMETRAGES &gt; Menu personnel
2. Utiliser la recherche / les filtres de l'écran
3. Imprimer ou exporter si l'écran le propose</t>
  </si>
  <si>
    <t xml:space="preserve">1. Ouvrir PARAMETRAGES &gt; Paramétrage général
2. Utiliser la recherche / les filtres de l'écran
3. Imprimer ou exporter si l'écran le propose</t>
  </si>
  <si>
    <t xml:space="preserve">1. Ouvrir PARAMETRAGES &gt; Identification Pharmacie
2. Utiliser la recherche / les filtres de l'écran
3. Imprimer ou exporter si l'écran le propose</t>
  </si>
  <si>
    <t xml:space="preserve">Gerer workflow remise</t>
  </si>
  <si>
    <t xml:space="preserve">1. Ouvrir PARAMETRAGES &gt; Gerer workflow remise
2. Utiliser la recherche / les filtres de l'écran
3. Imprimer ou exporter si l'écran le propose</t>
  </si>
  <si>
    <t xml:space="preserve">Gerer Ville</t>
  </si>
  <si>
    <t xml:space="preserve">1. Ouvrir PARAMETRAGES &gt; Gerer Ville
2. Utiliser la recherche / les filtres de l'écran
3. Imprimer ou exporter si l'écran le propose</t>
  </si>
  <si>
    <t xml:space="preserve">Gerer Contre Indication</t>
  </si>
  <si>
    <t xml:space="preserve">1. Ouvrir PARAMETRAGES &gt; Gerer Contre Indication
2. Utiliser la recherche / les filtres de l'écran
3. Imprimer ou exporter si l'écran le propose</t>
  </si>
  <si>
    <t xml:space="preserve">Gerer Specialite Medecin</t>
  </si>
  <si>
    <t xml:space="preserve">1. Ouvrir PARAMETRAGES &gt; Gerer Specialite Medecin
2. Utiliser la recherche / les filtres de l'écran
3. Imprimer ou exporter si l'écran le propose</t>
  </si>
  <si>
    <t xml:space="preserve">Gerer les DCI</t>
  </si>
  <si>
    <t xml:space="preserve">1. Ouvrir PARAMETRAGES &gt; Gerer les DCI
2. Utiliser la recherche / les filtres de l'écran
3. Imprimer ou exporter si l'écran le propose</t>
  </si>
  <si>
    <t xml:space="preserve">Gerer Forme Article</t>
  </si>
  <si>
    <t xml:space="preserve">1. Ouvrir PARAMETRAGES &gt; Gerer Forme Article
2. Utiliser la recherche / les filtres de l'écran
3. Imprimer ou exporter si l'écran le propose</t>
  </si>
  <si>
    <t xml:space="preserve">Gerer Tranche</t>
  </si>
  <si>
    <t xml:space="preserve">1. Ouvrir PARAMETRAGES &gt; Gerer Tranche
2. Utiliser la recherche / les filtres de l'écran
3. Imprimer ou exporter si l'écran le propose</t>
  </si>
  <si>
    <t xml:space="preserve">Gerer Ayant Droit</t>
  </si>
  <si>
    <t xml:space="preserve">1. Ouvrir PARAMETRAGES &gt; Gerer Ayant Droit
2. Utiliser la recherche / les filtres de l'écran
3. Imprimer ou exporter si l'écran le propose</t>
  </si>
  <si>
    <t xml:space="preserve">Gerer Risques</t>
  </si>
  <si>
    <t xml:space="preserve">1. Ouvrir PARAMETRAGES &gt; Gerer Risques
2. Utiliser la recherche / les filtres de l'écran
3. Imprimer ou exporter si l'écran le propose</t>
  </si>
  <si>
    <t xml:space="preserve">Gerer Famille</t>
  </si>
  <si>
    <t xml:space="preserve">1. Ouvrir PARAMETRAGES &gt; Gerer Famille
2. Utiliser la recherche / les filtres de l'écran
3. Imprimer ou exporter si l'écran le propose</t>
  </si>
  <si>
    <t xml:space="preserve">Gerer Etat Article</t>
  </si>
  <si>
    <t xml:space="preserve">1. Ouvrir PARAMETRAGES &gt; Gerer Etat Article
2. Utiliser la recherche / les filtres de l'écran
3. Imprimer ou exporter si l'écran le propose</t>
  </si>
  <si>
    <t xml:space="preserve">Gerer Type Societe</t>
  </si>
  <si>
    <t xml:space="preserve">1. Ouvrir PARAMETRAGES &gt; Gerer Type Societe
2. Utiliser la recherche / les filtres de l'écran
3. Imprimer ou exporter si l'écran le propose</t>
  </si>
  <si>
    <t xml:space="preserve">recette/recette-ecrans.js : ouvert par son composant (entrée introuvable sous ce libellé), chargé en 11.0 s, 2 écriture(s) interceptée(s) — exécuté le 24/10/2026 sur le banc</t>
  </si>
  <si>
    <t xml:space="preserve">Mode de règlements</t>
  </si>
  <si>
    <t xml:space="preserve">1. Ouvrir PARAMETRAGES &gt; Mode de règlements
2. Utiliser la recherche / les filtres de l'écran
3. Imprimer ou exporter si l'écran le propose</t>
  </si>
  <si>
    <t xml:space="preserve">Gerer Fiche Societe</t>
  </si>
  <si>
    <t xml:space="preserve">1. Ouvrir PARAMETRAGES &gt; Gerer Fiche Societe
2. Utiliser la recherche / les filtres de l'écran
3. Imprimer ou exporter si l'écran le propose</t>
  </si>
  <si>
    <t xml:space="preserve">Gerer Type Remise</t>
  </si>
  <si>
    <t xml:space="preserve">1. Ouvrir PARAMETRAGES &gt; Gerer Type Remise
2. Utiliser la recherche / les filtres de l'écran
3. Imprimer ou exporter si l'écran le propose</t>
  </si>
  <si>
    <t xml:space="preserve">Groupe famille</t>
  </si>
  <si>
    <t xml:space="preserve">1. Ouvrir PARAMETRAGES &gt; Groupe famille
2. Utiliser la recherche / les filtres de l'écran
3. Imprimer ou exporter si l'écran le propose</t>
  </si>
  <si>
    <t xml:space="preserve">Catégories ayants droit</t>
  </si>
  <si>
    <t xml:space="preserve">1. Ouvrir PARAMETRAGES &gt; Catégories ayants droit
2. Utiliser la recherche / les filtres de l'écran
3. Imprimer ou exporter si l'écran le propose</t>
  </si>
  <si>
    <t xml:space="preserve">Gerer Motif Retour</t>
  </si>
  <si>
    <t xml:space="preserve">1. Ouvrir PARAMETRAGES &gt; Gerer Motif Retour
2. Utiliser la recherche / les filtres de l'écran
3. Imprimer ou exporter si l'écran le propose</t>
  </si>
  <si>
    <t xml:space="preserve">Gerer Type Risque</t>
  </si>
  <si>
    <t xml:space="preserve">1. Ouvrir PARAMETRAGES &gt; Gerer Type Risque
2. Utiliser la recherche / les filtres de l'écran
3. Imprimer ou exporter si l'écran le propose</t>
  </si>
  <si>
    <t xml:space="preserve">Gerer medecin</t>
  </si>
  <si>
    <t xml:space="preserve">1. Ouvrir PARAMETRAGES &gt; Gerer medecin
2. Utiliser la recherche / les filtres de l'écran
3. Imprimer ou exporter si l'écran le propose</t>
  </si>
  <si>
    <t xml:space="preserve">Gerer Centre Payeur</t>
  </si>
  <si>
    <t xml:space="preserve">1. Ouvrir PARAMETRAGES &gt; Gerer Centre Payeur
2. Utiliser la recherche / les filtres de l'écran
3. Imprimer ou exporter si l'écran le propose</t>
  </si>
  <si>
    <t xml:space="preserve">Gerer Escompte Societe</t>
  </si>
  <si>
    <t xml:space="preserve">1. Ouvrir PARAMETRAGES &gt; Gerer Escompte Societe
2. Utiliser la recherche / les filtres de l'écran
3. Imprimer ou exporter si l'écran le propose</t>
  </si>
  <si>
    <t xml:space="preserve">Groupe grossistes</t>
  </si>
  <si>
    <t xml:space="preserve">1. Ouvrir PARAMETRAGES &gt; Groupe grossistes
2. Utiliser la recherche / les filtres de l'écran
3. Imprimer ou exporter si l'écran le propose</t>
  </si>
  <si>
    <t xml:space="preserve">Motifs règlément</t>
  </si>
  <si>
    <t xml:space="preserve">1. Ouvrir PARAMETRAGES &gt; Motifs règlément
2. Utiliser la recherche / les filtres de l'écran
3. Imprimer ou exporter si l'écran le propose</t>
  </si>
  <si>
    <t xml:space="preserve">Gerer Grossistes</t>
  </si>
  <si>
    <t xml:space="preserve">1. Ouvrir PARAMETRAGES &gt; Gerer Grossistes
2. Utiliser la recherche / les filtres de l'écran
3. Imprimer ou exporter si l'écran le propose</t>
  </si>
  <si>
    <t xml:space="preserve">Gerer Fabricant</t>
  </si>
  <si>
    <t xml:space="preserve">1. Ouvrir PARAMETRAGES &gt; Gerer Fabricant
2. Utiliser la recherche / les filtres de l'écran
3. Imprimer ou exporter si l'écran le propose</t>
  </si>
  <si>
    <t xml:space="preserve">1. Ouvrir PARAMETRAGES &gt; Fournisseurs SMS
2. Utiliser la recherche / les filtres de l'écran
3. Imprimer ou exporter si l'écran le propose</t>
  </si>
  <si>
    <t xml:space="preserve">PRESTIGE — Cahier de recette — RETROCESSION</t>
  </si>
  <si>
    <t xml:space="preserve">1. Ouvrir RETROCESSION &gt; Retrocession
2. Utiliser la recherche / les filtres de l'écran
3. Imprimer ou exporter si l'écran le propose</t>
  </si>
  <si>
    <t xml:space="preserve">Gestion des confrères</t>
  </si>
  <si>
    <t xml:space="preserve">1. Ouvrir RETROCESSION &gt; Gestion des confrères
2. Utiliser la recherche / les filtres de l'écran
3. Imprimer ou exporter si l'écran le propose</t>
  </si>
  <si>
    <t xml:space="preserve">PRESTIGE — Cahier de recette — ANALYSE DE GESTION</t>
  </si>
  <si>
    <t xml:space="preserve">Pilotage de l'officine</t>
  </si>
  <si>
    <t xml:space="preserve">Tableau de pilotage</t>
  </si>
  <si>
    <t xml:space="preserve">Ventes et achats</t>
  </si>
  <si>
    <t xml:space="preserve">1. Ouvrir, changer la période (jour, mois)</t>
  </si>
  <si>
    <t xml:space="preserve">Indicateurs cohérents avec les ventes ; « À suivre » chargé</t>
  </si>
  <si>
    <t xml:space="preserve">retours/test-pilotage.js : 34/34 controles OK</t>
  </si>
  <si>
    <t xml:space="preserve">Ouverture du pilotage</t>
  </si>
  <si>
    <t xml:space="preserve">1. Ouvrir le pilotage (poste et mobile)</t>
  </si>
  <si>
    <t xml:space="preserve">Affiché en quelques secondes</t>
  </si>
  <si>
    <t xml:space="preserve">perf/test-perf-pilotage.js : 26/26 budgets respectes
Non couvert : mesure sur le poste ; application mobile non jouee ici</t>
  </si>
  <si>
    <t xml:space="preserve">Statistique famille</t>
  </si>
  <si>
    <t xml:space="preserve">Stats par rayon / grossiste</t>
  </si>
  <si>
    <t xml:space="preserve">1. Filtrer par rayon puis grossiste</t>
  </si>
  <si>
    <t xml:space="preserve">Valeurs chiffrées (jamais NaN), cohérentes avec le CA</t>
  </si>
  <si>
    <t xml:space="preserve">perf/test-statistique-rayon-grossiste.js : 14/14 OK</t>
  </si>
  <si>
    <t xml:space="preserve">Classification ABC</t>
  </si>
  <si>
    <t xml:space="preserve">Export ABC</t>
  </si>
  <si>
    <t xml:space="preserve">Base réelle</t>
  </si>
  <si>
    <t xml:space="preserve">1. Exporter</t>
  </si>
  <si>
    <t xml:space="preserve">Export obtenu en temps raisonnable, totaux cohérents</t>
  </si>
  <si>
    <t xml:space="preserve">Pas de test automatique de l'export ABC : a faire a la main</t>
  </si>
  <si>
    <t xml:space="preserve">Gestion des gardes</t>
  </si>
  <si>
    <t xml:space="preserve">Préparer une garde</t>
  </si>
  <si>
    <t xml:space="preserve">Garde planifiée</t>
  </si>
  <si>
    <t xml:space="preserve">1. Créer la garde, vendeurs, commandes</t>
  </si>
  <si>
    <t xml:space="preserve">PDF vendeurs / commandes / activité corrects</t>
  </si>
  <si>
    <t xml:space="preserve">etape5/test-gardes.js : 58/58 assertions</t>
  </si>
  <si>
    <t xml:space="preserve">Chiffre d'Affaires 20/80</t>
  </si>
  <si>
    <t xml:space="preserve">1. Ouvrir ANALYSE DE GESTION &gt; Chiffre d'Affaires 20/80
2. Utiliser la recherche / les filtres de l'écran
3. Imprimer ou exporter si l'écran le propose</t>
  </si>
  <si>
    <t xml:space="preserve">1. Ouvrir ANALYSE DE GESTION &gt; Pilotage de l'officine
2. Utiliser la recherche / les filtres de l'écran
3. Imprimer ou exporter si l'écran le propose</t>
  </si>
  <si>
    <t xml:space="preserve">recette/recette-ecrans.js : ouvert par le menu, chargé en 2.9 s — exécuté le 24/10/2026 sur le banc</t>
  </si>
  <si>
    <t xml:space="preserve">Rapport activité</t>
  </si>
  <si>
    <t xml:space="preserve">1. Ouvrir ANALYSE DE GESTION &gt; Rapport activité
2. Utiliser la recherche / les filtres de l'écran
3. Imprimer ou exporter si l'écran le propose</t>
  </si>
  <si>
    <t xml:space="preserve">recette/recette-ecrans.js : ouvert par son composant (entrée introuvable sous ce libellé), chargé en 11.8 s — exécuté le 24/10/2026 sur le banc</t>
  </si>
  <si>
    <t xml:space="preserve">Compte d'exploitation</t>
  </si>
  <si>
    <t xml:space="preserve">1. Ouvrir ANALYSE DE GESTION &gt; Compte d'exploitation
2. Utiliser la recherche / les filtres de l'écran
3. Imprimer ou exporter si l'écran le propose</t>
  </si>
  <si>
    <t xml:space="preserve">Analyse tiers payants</t>
  </si>
  <si>
    <t xml:space="preserve">1. Ouvrir ANALYSE DE GESTION &gt; Analyse tiers payants
2. Utiliser la recherche / les filtres de l'écran
3. Imprimer ou exporter si l'écran le propose</t>
  </si>
  <si>
    <t xml:space="preserve">1. Ouvrir ANALYSE DE GESTION &gt; Statistique famille
2. Utiliser la recherche / les filtres de l'écran
3. Imprimer ou exporter si l'écran le propose</t>
  </si>
  <si>
    <t xml:space="preserve">recette/recette-ecrans.js : ouvert par son composant (entrée introuvable sous ce libellé), chargé en 13.9 s, 1 écriture(s) interceptée(s) — exécuté le 24/10/2026 sur le banc</t>
  </si>
  <si>
    <t xml:space="preserve">Fréquentation officine</t>
  </si>
  <si>
    <t xml:space="preserve">1. Ouvrir ANALYSE DE GESTION &gt; Fréquentation officine
2. Utiliser la recherche / les filtres de l'écran
3. Imprimer ou exporter si l'écran le propose</t>
  </si>
  <si>
    <t xml:space="preserve">Facture Reglee</t>
  </si>
  <si>
    <t xml:space="preserve">1. Ouvrir ANALYSE DE GESTION &gt; Facture Reglee
2. Utiliser la recherche / les filtres de l'écran
3. Imprimer ou exporter si l'écran le propose</t>
  </si>
  <si>
    <t xml:space="preserve">Activité opérateurs</t>
  </si>
  <si>
    <t xml:space="preserve">1. Ouvrir ANALYSE DE GESTION &gt; Activité opérateurs
2. Utiliser la recherche / les filtres de l'écran
3. Imprimer ou exporter si l'écran le propose</t>
  </si>
  <si>
    <t xml:space="preserve">Activité des équipes</t>
  </si>
  <si>
    <t xml:space="preserve">1. Ouvrir ANALYSE DE GESTION &gt; Activité des équipes
2. Utiliser la recherche / les filtres de l'écran
3. Imprimer ou exporter si l'écran le propose</t>
  </si>
  <si>
    <t xml:space="preserve">recette/recette-ecrans.js : ouvert par le menu, chargé en 2.1 s, 1 écriture(s) interceptée(s) — exécuté le 24/10/2026 sur le banc</t>
  </si>
  <si>
    <t xml:space="preserve">Comparaison CA familles</t>
  </si>
  <si>
    <t xml:space="preserve">1. Ouvrir ANALYSE DE GESTION &gt; Comparaison CA familles
2. Utiliser la recherche / les filtres de l'écran
3. Imprimer ou exporter si l'écran le propose</t>
  </si>
  <si>
    <t xml:space="preserve">recette/recette-ecrans.js : ouvert par le menu, chargé en 7.2 s — exécuté le 24/10/2026 sur le banc</t>
  </si>
  <si>
    <t xml:space="preserve">Statistiques des ventes</t>
  </si>
  <si>
    <t xml:space="preserve">1. Ouvrir ANALYSE DE GESTION &gt; Statistiques des ventes
2. Utiliser la recherche / les filtres de l'écran
3. Imprimer ou exporter si l'écran le propose</t>
  </si>
  <si>
    <t xml:space="preserve">Ruptures de stock</t>
  </si>
  <si>
    <t xml:space="preserve">1. Ouvrir ANALYSE DE GESTION &gt; Ruptures de stock
2. Utiliser la recherche / les filtres de l'écran
3. Imprimer ou exporter si l'écran le propose</t>
  </si>
  <si>
    <t xml:space="preserve">Journal</t>
  </si>
  <si>
    <t xml:space="preserve">1. Ouvrir ANALYSE DE GESTION &gt; Journal
2. Utiliser la recherche / les filtres de l'écran
3. Imprimer ou exporter si l'écran le propose</t>
  </si>
  <si>
    <t xml:space="preserve">Unités vendues</t>
  </si>
  <si>
    <t xml:space="preserve">1. Ouvrir ANALYSE DE GESTION &gt; Unités vendues
2. Utiliser la recherche / les filtres de l'écran
3. Imprimer ou exporter si l'écran le propose</t>
  </si>
  <si>
    <t xml:space="preserve">Stats famille article</t>
  </si>
  <si>
    <t xml:space="preserve">1. Ouvrir ANALYSE DE GESTION &gt; Stats famille article
2. Utiliser la recherche / les filtres de l'écran
3. Imprimer ou exporter si l'écran le propose</t>
  </si>
  <si>
    <t xml:space="preserve">Tableau de bord</t>
  </si>
  <si>
    <t xml:space="preserve">1. Ouvrir ANALYSE DE GESTION &gt; Tableau de bord
2. Utiliser la recherche / les filtres de l'écran
3. Imprimer ou exporter si l'écran le propose</t>
  </si>
  <si>
    <t xml:space="preserve">recette/recette-ecrans.js : ouvert par son composant (entrée introuvable sous ce libellé), chargé en 11.7 s — exécuté le 24/10/2026 sur le banc</t>
  </si>
  <si>
    <t xml:space="preserve">Tableau pharmacien</t>
  </si>
  <si>
    <t xml:space="preserve">1. Ouvrir ANALYSE DE GESTION &gt; Tableau pharmacien
2. Utiliser la recherche / les filtres de l'écran
3. Imprimer ou exporter si l'écran le propose</t>
  </si>
  <si>
    <t xml:space="preserve">Tableau de bord carnet</t>
  </si>
  <si>
    <t xml:space="preserve">1. Ouvrir ANALYSE DE GESTION &gt; Tableau de bord carnet
2. Utiliser la recherche / les filtres de l'écran
3. Imprimer ou exporter si l'écran le propose</t>
  </si>
  <si>
    <t xml:space="preserve">Stock Par Produit</t>
  </si>
  <si>
    <t xml:space="preserve">1. Ouvrir ANALYSE DE GESTION &gt; Stock Par Produit
2. Utiliser la recherche / les filtres de l'écran
3. Imprimer ou exporter si l'écran le propose</t>
  </si>
  <si>
    <t xml:space="preserve">Marge sur produits</t>
  </si>
  <si>
    <t xml:space="preserve">1. Ouvrir ANALYSE DE GESTION &gt; Marge sur produits
2. Utiliser la recherche / les filtres de l'écran
3. Imprimer ou exporter si l'écran le propose</t>
  </si>
  <si>
    <t xml:space="preserve">Journal Recette</t>
  </si>
  <si>
    <t xml:space="preserve">1. Ouvrir ANALYSE DE GESTION &gt; Journal Recette
2. Utiliser la recherche / les filtres de l'écran
3. Imprimer ou exporter si l'écran le propose</t>
  </si>
  <si>
    <t xml:space="preserve">Stats produits / labo</t>
  </si>
  <si>
    <t xml:space="preserve">1. Ouvrir ANALYSE DE GESTION &gt; Stats produits / labo
2. Utiliser la recherche / les filtres de l'écran
3. Imprimer ou exporter si l'écran le propose</t>
  </si>
  <si>
    <t xml:space="preserve">CA par grossiste</t>
  </si>
  <si>
    <t xml:space="preserve">1. Ouvrir ANALYSE DE GESTION &gt; CA par grossiste
2. Utiliser la recherche / les filtres de l'écran
3. Imprimer ou exporter si l'écran le propose</t>
  </si>
  <si>
    <t xml:space="preserve">recette/recette-ecrans.js : ouvert par son composant (entrée introuvable sous ce libellé), chargé en 11.2 s — exécuté le 24/10/2026 sur le banc</t>
  </si>
  <si>
    <t xml:space="preserve">CA par emplacement</t>
  </si>
  <si>
    <t xml:space="preserve">1. Ouvrir ANALYSE DE GESTION &gt; CA par emplacement
2. Utiliser la recherche / les filtres de l'écran
3. Imprimer ou exporter si l'écran le propose</t>
  </si>
  <si>
    <t xml:space="preserve">CA emplacement / famille</t>
  </si>
  <si>
    <t xml:space="preserve">1. Ouvrir ANALYSE DE GESTION &gt; CA emplacement / famille
2. Utiliser la recherche / les filtres de l'écran
3. Imprimer ou exporter si l'écran le propose</t>
  </si>
  <si>
    <t xml:space="preserve">Stats produits / gamme</t>
  </si>
  <si>
    <t xml:space="preserve">1. Ouvrir ANALYSE DE GESTION &gt; Stats produits / gamme
2. Utiliser la recherche / les filtres de l'écran
3. Imprimer ou exporter si l'écran le propose</t>
  </si>
  <si>
    <t xml:space="preserve">recette/recette-ecrans.js : ouvert par son composant (entrée introuvable sous ce libellé), chargé en 11.1 s, 1 écriture(s) interceptée(s) — exécuté le 24/10/2026 sur le banc</t>
  </si>
  <si>
    <t xml:space="preserve">Suivi remise</t>
  </si>
  <si>
    <t xml:space="preserve">1. Ouvrir ANALYSE DE GESTION &gt; Suivi remise
2. Utiliser la recherche / les filtres de l'écran
3. Imprimer ou exporter si l'écran le propose</t>
  </si>
  <si>
    <t xml:space="preserve">Achats annuels</t>
  </si>
  <si>
    <t xml:space="preserve">1. Ouvrir ANALYSE DE GESTION &gt; Achats annuels
2. Utiliser la recherche / les filtres de l'écran
3. Imprimer ou exporter si l'écran le propose</t>
  </si>
  <si>
    <t xml:space="preserve">STATISTIQUE ANNUEL CA</t>
  </si>
  <si>
    <t xml:space="preserve">1. Ouvrir ANALYSE DE GESTION &gt; STATISTIQUE ANNUEL CA
2. Utiliser la recherche / les filtres de l'écran
3. Imprimer ou exporter si l'écran le propose</t>
  </si>
  <si>
    <t xml:space="preserve">recette/recette-ecrans.js : ouvert par son composant (entrée introuvable sous ce libellé), chargé en 14.9 s — exécuté le 24/10/2026 sur le banc</t>
  </si>
  <si>
    <t xml:space="preserve">Statistique des achats</t>
  </si>
  <si>
    <t xml:space="preserve">1. Ouvrir ANALYSE DE GESTION &gt; Statistique des achats
2. Utiliser la recherche / les filtres de l'écran
3. Imprimer ou exporter si l'écran le propose</t>
  </si>
  <si>
    <t xml:space="preserve">Récapitulatif activité</t>
  </si>
  <si>
    <t xml:space="preserve">1. Ouvrir ANALYSE DE GESTION &gt; Récapitulatif activité
2. Utiliser la recherche / les filtres de l'écran
3. Imprimer ou exporter si l'écran le propose</t>
  </si>
  <si>
    <t xml:space="preserve">recette/recette-ecrans.js : ouvert par son composant (entrée introuvable sous ce libellé), chargé en 12.5 s, 1 écriture(s) interceptée(s) — exécuté le 24/10/2026 sur le banc</t>
  </si>
  <si>
    <t xml:space="preserve">Statistique sur TVA</t>
  </si>
  <si>
    <t xml:space="preserve">1. Ouvrir ANALYSE DE GESTION &gt; Statistique sur TVA
2. Utiliser la recherche / les filtres de l'écran
3. Imprimer ou exporter si l'écran le propose</t>
  </si>
  <si>
    <t xml:space="preserve">Ventes mensuelles client</t>
  </si>
  <si>
    <t xml:space="preserve">1. Ouvrir ANALYSE DE GESTION &gt; Ventes mensuelles client
2. Utiliser la recherche / les filtres de l'écran
3. Imprimer ou exporter si l'écran le propose</t>
  </si>
  <si>
    <t xml:space="preserve">Vente / stock famille</t>
  </si>
  <si>
    <t xml:space="preserve">1. Ouvrir ANALYSE DE GESTION &gt; Vente / stock famille
2. Utiliser la recherche / les filtres de l'écran
3. Imprimer ou exporter si l'écran le propose</t>
  </si>
  <si>
    <t xml:space="preserve">Achats Mensuels Produits</t>
  </si>
  <si>
    <t xml:space="preserve">1. Ouvrir ANALYSE DE GESTION &gt; Achats Mensuels Produits
2. Utiliser la recherche / les filtres de l'écran
3. Imprimer ou exporter si l'écran le propose</t>
  </si>
  <si>
    <t xml:space="preserve">Achats fournisseurs</t>
  </si>
  <si>
    <t xml:space="preserve">1. Ouvrir ANALYSE DE GESTION &gt; Achats fournisseurs
2. Utiliser la recherche / les filtres de l'écran
3. Imprimer ou exporter si l'écran le propose</t>
  </si>
  <si>
    <t xml:space="preserve">recette/recette-ecrans.js : ouvert par le menu, chargé en 2.3 s — exécuté le 24/10/2026 sur le banc</t>
  </si>
  <si>
    <t xml:space="preserve">Ventes mensuelles société</t>
  </si>
  <si>
    <t xml:space="preserve">1. Ouvrir ANALYSE DE GESTION &gt; Ventes mensuelles société
2. Utiliser la recherche / les filtres de l'écran
3. Imprimer ou exporter si l'écran le propose</t>
  </si>
  <si>
    <t xml:space="preserve">Rétrocessions</t>
  </si>
  <si>
    <t xml:space="preserve">1. Ouvrir ANALYSE DE GESTION &gt; Rétrocessions
2. Utiliser la recherche / les filtres de l'écran
3. Imprimer ou exporter si l'écran le propose</t>
  </si>
  <si>
    <t xml:space="preserve">Analyse article</t>
  </si>
  <si>
    <t xml:space="preserve">1. Ouvrir ANALYSE DE GESTION &gt; Analyse article
2. Utiliser la recherche / les filtres de l'écran
3. Imprimer ou exporter si l'écran le propose</t>
  </si>
  <si>
    <t xml:space="preserve">recette/recette-ecrans.js : ouvert par le menu, chargé en 2.7 s — exécuté le 24/10/2026 sur le banc</t>
  </si>
  <si>
    <t xml:space="preserve">1. Ouvrir ANALYSE DE GESTION &gt; Classification ABC
2. Utiliser la recherche / les filtres de l'écran
3. Imprimer ou exporter si l'écran le propose</t>
  </si>
  <si>
    <t xml:space="preserve">1. Ouvrir ANALYSE DE GESTION &gt; Gestion des gardes
2. Utiliser la recherche / les filtres de l'écran
3. Imprimer ou exporter si l'écran le propose</t>
  </si>
  <si>
    <t xml:space="preserve">Feuille de match</t>
  </si>
  <si>
    <t xml:space="preserve">1. Ouvrir ANALYSE DE GESTION &gt; Feuille de match
2. Utiliser la recherche / les filtres de l'écran
3. Imprimer ou exporter si l'écran le propose</t>
  </si>
  <si>
    <t xml:space="preserve">recette/recette-ecrans.js : ouvert par le menu, chargé en 2.2 s — exécuté le 24/10/2026 sur le banc</t>
  </si>
  <si>
    <t xml:space="preserve">PRESTIGE — Cahier de recette — NOTIFICATIONS</t>
  </si>
  <si>
    <t xml:space="preserve">Gestion des Sms</t>
  </si>
  <si>
    <t xml:space="preserve">Messages sortants</t>
  </si>
  <si>
    <t xml:space="preserve">SMS envoyés</t>
  </si>
  <si>
    <t xml:space="preserve">1. Rechercher un message, renvoyer</t>
  </si>
  <si>
    <t xml:space="preserve">Statut à jour ; renvoi possible</t>
  </si>
  <si>
    <t xml:space="preserve">Pas de test automatique (renvoi d'un SMS reel) : a faire a la main</t>
  </si>
  <si>
    <t xml:space="preserve">1. Ouvrir NOTIFICATIONS &gt; Gestion des Sms
2. Utiliser la recherche / les filtres de l'écran
3. Imprimer ou exporter si l'écran le propose</t>
  </si>
  <si>
    <t xml:space="preserve">Model Notification</t>
  </si>
  <si>
    <t xml:space="preserve">1. Ouvrir NOTIFICATIONS &gt; Model Notification
2. Utiliser la recherche / les filtres de l'écran
3. Imprimer ou exporter si l'écran le propose</t>
  </si>
  <si>
    <t xml:space="preserve">Catégorie notification</t>
  </si>
  <si>
    <t xml:space="preserve">1. Ouvrir NOTIFICATIONS &gt; Catégorie notification
2. Utiliser la recherche / les filtres de l'écran
3. Imprimer ou exporter si l'écran le propose</t>
  </si>
  <si>
    <t xml:space="preserve">recette/recette-ecrans.js : ouvert par son composant (entrée introuvable sous ce libellé), chargé en 11.7 s, 1 écriture(s) interceptée(s) — exécuté le 24/10/2026 sur le banc</t>
  </si>
  <si>
    <t xml:space="preserve">Envoi de SMS RECAP</t>
  </si>
  <si>
    <t xml:space="preserve">1. Ouvrir NOTIFICATIONS &gt; Envoi de SMS RECAP
2. Utiliser la recherche / les filtres de l'écran
3. Imprimer ou exporter si l'écran le propose</t>
  </si>
  <si>
    <t xml:space="preserve">recette/recette-ecrans.js : écran court, bien dessiné (184 px, vérifié sur capture) ; ouvert par son composant (entrée introuvable sous ce libellé), chargé en 11.0 s — exécuté le 24/10/2026 sur le banc</t>
  </si>
  <si>
    <t xml:space="preserve">Menu notifications</t>
  </si>
  <si>
    <t xml:space="preserve">1. Ouvrir NOTIFICATIONS &gt; Menu notifications
2. Utiliser la recherche / les filtres de l'écran
3. Imprimer ou exporter si l'écran le propose</t>
  </si>
  <si>
    <t xml:space="preserve">recette/recette-ecrans.js : ouvert par son composant (entrée introuvable sous ce libellé), chargé en 11.9 s, 1 écriture(s) interceptée(s) — exécuté le 24/10/2026 sur le banc</t>
  </si>
  <si>
    <t xml:space="preserve">PRESTIGE — Cahier de recette — GESTION DES UTILISATEURS</t>
  </si>
  <si>
    <t xml:space="preserve">Mon compte</t>
  </si>
  <si>
    <t xml:space="preserve">1. Ouvrir GESTION DES UTILISATEURS &gt; Mon compte
2. Utiliser la recherche / les filtres de l'écran
3. Imprimer ou exporter si l'écran le propose</t>
  </si>
  <si>
    <t xml:space="preserve">Utilisateurs</t>
  </si>
  <si>
    <t xml:space="preserve">1. Ouvrir GESTION DES UTILISATEURS &gt; Utilisateurs
2. Utiliser la recherche / les filtres de l'écran
3. Imprimer ou exporter si l'écran le propose</t>
  </si>
  <si>
    <t xml:space="preserve">Privileges</t>
  </si>
  <si>
    <t xml:space="preserve">1. Ouvrir GESTION DES UTILISATEURS &gt; Privileges
2. Utiliser la recherche / les filtres de l'écran
3. Imprimer ou exporter si l'écran le propose</t>
  </si>
  <si>
    <t xml:space="preserve">Gestion de profils</t>
  </si>
  <si>
    <t xml:space="preserve">1. Ouvrir GESTION DES UTILISATEURS &gt; Gestion de profils
2. Utiliser la recherche / les filtres de l'écran
3. Imprimer ou exporter si l'écran le propose</t>
  </si>
  <si>
    <t xml:space="preserve">Langues</t>
  </si>
  <si>
    <t xml:space="preserve">1. Ouvrir GESTION DES UTILISATEURS &gt; Langues
2. Utiliser la recherche / les filtres de l'écran
3. Imprimer ou exporter si l'écran le propose</t>
  </si>
  <si>
    <t xml:space="preserve">Deconnexion</t>
  </si>
  <si>
    <t xml:space="preserve">1. Ouvrir GESTION DES UTILISATEURS &gt; Deconnexion
2. Utiliser la recherche / les filtres de l'écran
3. Imprimer ou exporter si l'écran le propose</t>
  </si>
  <si>
    <t xml:space="preserve">recette/recette-ecrans.js : Fermerait la session : testé à part (cas Transversal « Déconnexion ») — exécuté le 24/10/2026 sur le banc</t>
  </si>
  <si>
    <t xml:space="preserve">PRESTIGE — Cahier de recette — CONFIGURATION</t>
  </si>
  <si>
    <t xml:space="preserve">Table</t>
  </si>
  <si>
    <t xml:space="preserve">1. Ouvrir CONFIGURATION &gt; Table
2. Utiliser la recherche / les filtres de l'écran
3. Imprimer ou exporter si l'écran le propose</t>
  </si>
  <si>
    <t xml:space="preserve">1. Ouvrir CONFIGURATION &gt; Module
2. Utiliser la recherche / les filtres de l'écran
3. Imprimer ou exporter si l'écran le propose</t>
  </si>
  <si>
    <t xml:space="preserve">recette/recette-ecrans.js : ouvert par son composant (entrée introuvable sous ce libellé), chargé en 21.1 s, 1 écriture(s) interceptée(s) — exécuté le 24/10/2026 sur le banc</t>
  </si>
  <si>
    <t xml:space="preserve">Menu</t>
  </si>
  <si>
    <t xml:space="preserve">1. Ouvrir CONFIGURATION &gt; Menu
2. Utiliser la recherche / les filtres de l'écran
3. Imprimer ou exporter si l'écran le propose</t>
  </si>
  <si>
    <t xml:space="preserve">Produit</t>
  </si>
  <si>
    <t xml:space="preserve">1. Ouvrir CONFIGURATION &gt; Produit
2. Utiliser la recherche / les filtres de l'écran
3. Imprimer ou exporter si l'écran le propose</t>
  </si>
  <si>
    <t xml:space="preserve">Sous-menu</t>
  </si>
  <si>
    <t xml:space="preserve">1. Ouvrir CONFIGURATION &gt; Sous-menu
2. Utiliser la recherche / les filtres de l'écran
3. Imprimer ou exporter si l'écran le propose</t>
  </si>
  <si>
    <t xml:space="preserve">recette/recette-ecrans.js : ouvert par son composant (entrée introuvable sous ce libellé), chargé en 21.2 s — exécuté le 24/10/2026 sur le banc</t>
  </si>
  <si>
    <t xml:space="preserve">Tva</t>
  </si>
  <si>
    <t xml:space="preserve">1. Ouvrir CONFIGURATION &gt; Tva
2. Utiliser la recherche / les filtres de l'écran
3. Imprimer ou exporter si l'écran le propose</t>
  </si>
  <si>
    <t xml:space="preserve">Type Depense</t>
  </si>
  <si>
    <t xml:space="preserve">1. Ouvrir CONFIGURATION &gt; Type Depense
2. Utiliser la recherche / les filtres de l'écran
3. Imprimer ou exporter si l'écran le propose</t>
  </si>
  <si>
    <t xml:space="preserve">Type Recette</t>
  </si>
  <si>
    <t xml:space="preserve">1. Ouvrir CONFIGURATION &gt; Type Recette
2. Utiliser la recherche / les filtres de l'écran
3. Imprimer ou exporter si l'écran le propose</t>
  </si>
  <si>
    <t xml:space="preserve">Type Contenance</t>
  </si>
  <si>
    <t xml:space="preserve">1. Ouvrir CONFIGURATION &gt; Type Contenance
2. Utiliser la recherche / les filtres de l'écran
3. Imprimer ou exporter si l'écran le propose</t>
  </si>
  <si>
    <t xml:space="preserve">Produit Par Contenance</t>
  </si>
  <si>
    <t xml:space="preserve">1. Ouvrir CONFIGURATION &gt; Produit Par Contenance
2. Utiliser la recherche / les filtres de l'écran
3. Imprimer ou exporter si l'écran le propose</t>
  </si>
  <si>
    <t xml:space="preserve">PRESTIGE — Cahier de recette — Campagnes SMS / WhatsApp</t>
  </si>
  <si>
    <t xml:space="preserve">Campagnes</t>
  </si>
  <si>
    <t xml:space="preserve">Campagne SMS / WhatsApp</t>
  </si>
  <si>
    <t xml:space="preserve">Clients consentants</t>
  </si>
  <si>
    <t xml:space="preserve">1. Créer, cibler, envoyer</t>
  </si>
  <si>
    <t xml:space="preserve">Seuls les consentants reçoivent ; texte des messages jamais journalisé</t>
  </si>
  <si>
    <t xml:space="preserve">campagnes/test-campagnes.js : 27/27 OK</t>
  </si>
  <si>
    <t xml:space="preserve">1. Ouvrir Campagnes SMS / WhatsApp &gt; Campagnes
2. Utiliser la recherche / les filtres de l'écran
3. Imprimer ou exporter si l'écran le propose</t>
  </si>
  <si>
    <t xml:space="preserve">Comptes WhatsApp</t>
  </si>
  <si>
    <t xml:space="preserve">1. Ouvrir Campagnes SMS / WhatsApp &gt; Comptes WhatsApp
2. Utiliser la recherche / les filtres de l'écran
3. Imprimer ou exporter si l'écran le propose</t>
  </si>
  <si>
    <t xml:space="preserve">PRESTIGE — Cahier de recette — RESSOURCES HUMAINES</t>
  </si>
  <si>
    <t xml:space="preserve">Employé créé à partir d'un utilisateur</t>
  </si>
  <si>
    <t xml:space="preserve">Utilisateur sans fiche</t>
  </si>
  <si>
    <t xml:space="preserve">1. Onglet Employés &gt; Nouvel employé, choisir l'utilisateur</t>
  </si>
  <si>
    <t xml:space="preserve">Fiche pré-remplie et rattachée</t>
  </si>
  <si>
    <t xml:space="preserve">retours/test-rh.js : 50/50 OK</t>
  </si>
  <si>
    <t xml:space="preserve">Créer et imprimer un badge QR</t>
  </si>
  <si>
    <t xml:space="preserve">Employé rattaché</t>
  </si>
  <si>
    <t xml:space="preserve">1. Onglet Badges : créer (numéro automatique)
2. Cocher, Imprimer (QR, A4 ou carte)</t>
  </si>
  <si>
    <t xml:space="preserve">PDF avec QR centré ; impression comptée</t>
  </si>
  <si>
    <t xml:space="preserve">retours/test-rh-badge-qr.js : 15/15 OK
Non couvert : PDF et QR verifies ; impression sur carte PVC non verifiable ici</t>
  </si>
  <si>
    <t xml:space="preserve">Réimpression du badge</t>
  </si>
  <si>
    <t xml:space="preserve">Badge déjà imprimé en QR</t>
  </si>
  <si>
    <t xml:space="preserve">Même QR ; l'ancien exemplaire reste valable jusqu'à l'expiration</t>
  </si>
  <si>
    <t xml:space="preserve">Régénérer le QR</t>
  </si>
  <si>
    <t xml:space="preserve">Badge actif</t>
  </si>
  <si>
    <t xml:space="preserve">1. Fiche du badge &gt; « Régénérer le QR » (2 clics)</t>
  </si>
  <si>
    <t xml:space="preserve">Nouveau QR ; anciens exemplaires refusés ; message de réimpression</t>
  </si>
  <si>
    <t xml:space="preserve">Badge d'un employé sans compte</t>
  </si>
  <si>
    <t xml:space="preserve">Employé non rattaché</t>
  </si>
  <si>
    <t xml:space="preserve">1. Onglet Badges</t>
  </si>
  <si>
    <t xml:space="preserve">Ligne marquée « Sans compte utilisateur » ; avertissement à l'impression QR</t>
  </si>
  <si>
    <t xml:space="preserve">Désactiver un badge</t>
  </si>
  <si>
    <t xml:space="preserve">1. Désactiver (2 clics), motif</t>
  </si>
  <si>
    <t xml:space="preserve">Badge désactivé : plus de pointage ni de connexion</t>
  </si>
  <si>
    <t xml:space="preserve">retours/test-rh-badges.js : 14/14 OK</t>
  </si>
  <si>
    <t xml:space="preserve">Pointage</t>
  </si>
  <si>
    <t xml:space="preserve">Droit P_RH_POINTER</t>
  </si>
  <si>
    <t xml:space="preserve">1. Pointer depuis la session ou le QR de pointage</t>
  </si>
  <si>
    <t xml:space="preserve">Présence enregistrée ; planning et tableau à jour</t>
  </si>
  <si>
    <t xml:space="preserve">retours/test-rh-pointage.js : 26/26 OK
retours/test-demandes-51-52-pointage.js : 14/14 OK</t>
  </si>
  <si>
    <t xml:space="preserve">1. Ouvrir RESSOURCES HUMAINES &gt; Ressources humaines
2. Utiliser la recherche / les filtres de l'écran
3. Imprimer ou exporter si l'écran le propose</t>
  </si>
  <si>
    <t xml:space="preserve">recette/recette-ecrans.js : ouvert par le menu, chargé en 2.0 s, 1 écriture(s) interceptée(s) — exécuté le 24/10/2026 sur le banc</t>
  </si>
  <si>
    <t xml:space="preserve">PRESTIGE — Cahier de recette — Avis clients</t>
  </si>
  <si>
    <t xml:space="preserve">1. Ouvrir Avis clients &gt; Avis clients
2. Utiliser la recherche / les filtres de l'écran
3. Imprimer ou exporter si l'écran le propose</t>
  </si>
  <si>
    <t xml:space="preserve">PRESTIGE — Cahier de recette — GESTION CLIENT</t>
  </si>
  <si>
    <t xml:space="preserve">Sms</t>
  </si>
  <si>
    <t xml:space="preserve">1. Ouvrir GESTION CLIENT &gt; Sms
2. Utiliser la recherche / les filtres de l'écran
3. Imprimer ou exporter si l'écran le propose</t>
  </si>
  <si>
    <t xml:space="preserve">recette/recette-ecrans.js : ouvert par son composant (entrée introuvable sous ce libellé), chargé en 21.3 s, 1 écriture(s) interceptée(s) — exécuté le 24/10/2026 sur le banc</t>
  </si>
  <si>
    <t xml:space="preserve">Email</t>
  </si>
  <si>
    <t xml:space="preserve">1. Ouvrir GESTION CLIENT &gt; Email
2. Utiliser la recherche / les filtres de l'écran
3. Imprimer ou exporter si l'écran le propose</t>
  </si>
  <si>
    <t xml:space="preserve">recette/recette-ecrans.js : s'ouvre (petite fenêtre « Flex compta Notification », vide) : contenu à vérifier à l'œil ; ouvert par son composant (entrée introuvable sous ce libellé), chargé en 20.9 s — exécuté le 24/10/2026 sur le banc</t>
  </si>
  <si>
    <t xml:space="preserve">PRESTIGE — Cahier de recette — CENTRE DE SUPPORT</t>
  </si>
  <si>
    <t xml:space="preserve">Santé application</t>
  </si>
  <si>
    <t xml:space="preserve">Indicateurs de santé</t>
  </si>
  <si>
    <t xml:space="preserve">1. Ouvrir Santé application</t>
  </si>
  <si>
    <t xml:space="preserve">Base, mémoire, erreurs, e-mail expéditeur, SMS : chaque ligne dit « Configuré » ou ce qui manque</t>
  </si>
  <si>
    <t xml:space="preserve">support/test-sms-configuration-sans-secret.js : 6/6 OK
Non couvert : ligne SMS verifiee ; les autres lignes de la sante ne sont qu'affichees</t>
  </si>
  <si>
    <t xml:space="preserve">SMS non configuré signalé</t>
  </si>
  <si>
    <t xml:space="preserve">Client ID vide sur le fournisseur</t>
  </si>
  <si>
    <t xml:space="preserve">1. Ouvrir Santé</t>
  </si>
  <si>
    <t xml:space="preserve">« SMS : Non configuré… À renseigner : Client ID »</t>
  </si>
  <si>
    <t xml:space="preserve">support/test-sms-configuration-sans-secret.js : 6/6 OK</t>
  </si>
  <si>
    <t xml:space="preserve">Me contacter</t>
  </si>
  <si>
    <t xml:space="preserve">Demande au support</t>
  </si>
  <si>
    <t xml:space="preserve">Expéditeur e-mail configuré</t>
  </si>
  <si>
    <t xml:space="preserve">1. Envoyer une demande avec pièce jointe</t>
  </si>
  <si>
    <t xml:space="preserve">Demande envoyée ; sans expéditeur : « échec d'envoi » avec le message de configuration</t>
  </si>
  <si>
    <t xml:space="preserve">Envoi d'une demande par e-mail : expediteur reel non configure ici, a faire a la main</t>
  </si>
  <si>
    <t xml:space="preserve">Diagnostic &amp; bugs</t>
  </si>
  <si>
    <t xml:space="preserve">Auto-diagnostic</t>
  </si>
  <si>
    <t xml:space="preserve">1. Lancer les contrôles de cohérence</t>
  </si>
  <si>
    <t xml:space="preserve">Résultats affichés ; migrations Flyway en échec signalées</t>
  </si>
  <si>
    <t xml:space="preserve">support/test-preflight-migrations.js : 4/4 OK</t>
  </si>
  <si>
    <t xml:space="preserve">1. Ouvrir CENTRE DE SUPPORT &gt; Me contacter
2. Utiliser la recherche / les filtres de l'écran
3. Imprimer ou exporter si l'écran le propose</t>
  </si>
  <si>
    <t xml:space="preserve">Tickets support</t>
  </si>
  <si>
    <t xml:space="preserve">1. Ouvrir CENTRE DE SUPPORT &gt; Tickets support
2. Utiliser la recherche / les filtres de l'écran
3. Imprimer ou exporter si l'écran le propose</t>
  </si>
  <si>
    <t xml:space="preserve">1. Ouvrir CENTRE DE SUPPORT &gt; Diagnostic &amp; bugs
2. Utiliser la recherche / les filtres de l'écran
3. Imprimer ou exporter si l'écran le propose</t>
  </si>
  <si>
    <t xml:space="preserve">Stabilité du serveur</t>
  </si>
  <si>
    <t xml:space="preserve">1. Ouvrir CENTRE DE SUPPORT &gt; Stabilité du serveur
2. Utiliser la recherche / les filtres de l'écran
3. Imprimer ou exporter si l'écran le propose</t>
  </si>
  <si>
    <t xml:space="preserve">1. Ouvrir CENTRE DE SUPPORT &gt; Santé application
2. Utiliser la recherche / les filtres de l'écran
3. Imprimer ou exporter si l'écran le propose</t>
  </si>
  <si>
    <t xml:space="preserve">1. Ouvrir CENTRE DE SUPPORT &gt; Historique
2. Utiliser la recherche / les filtres de l'écran
3. Imprimer ou exporter si l'écran le propose</t>
  </si>
  <si>
    <t xml:space="preserve">Maintenance</t>
  </si>
  <si>
    <t xml:space="preserve">1. Ouvrir CENTRE DE SUPPORT &gt; Maintenance
2. Utiliser la recherche / les filtres de l'écran
3. Imprimer ou exporter si l'écran le propose</t>
  </si>
  <si>
    <t xml:space="preserve">recette/recette-ecrans.js : ouvert par le menu, chargé en 2.0 s, 4 écriture(s) interceptée(s) — exécuté le 24/10/2026 sur le banc</t>
  </si>
  <si>
    <t xml:space="preserve">Audit &amp; rapprochements</t>
  </si>
  <si>
    <t xml:space="preserve">1. Ouvrir CENTRE DE SUPPORT &gt; Audit &amp; rapprochements
2. Utiliser la recherche / les filtres de l'écran
3. Imprimer ou exporter si l'écran le propose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</si>
</sst>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General"/>
    <numFmt numFmtId="167" formatCode="dd/mm/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5"/>
      <color rgb="FF1F4E78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BDD7EE"/>
        <bgColor rgb="FFB4C6E7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Cahier_de_recette_Prestige_par_module.xlsx" TargetMode="External"/><Relationship Id="rId2" Type="http://schemas.openxmlformats.org/officeDocument/2006/relationships/hyperlink" Target="Cahier_de_recette_Prestige_par_module.xlsx" TargetMode="External"/><Relationship Id="rId3" Type="http://schemas.openxmlformats.org/officeDocument/2006/relationships/hyperlink" Target="Cahier_de_recette_Prestige_par_module.xlsx" TargetMode="External"/><Relationship Id="rId4" Type="http://schemas.openxmlformats.org/officeDocument/2006/relationships/hyperlink" Target="Cahier_de_recette_Prestige_par_module.xlsx" TargetMode="External"/><Relationship Id="rId5" Type="http://schemas.openxmlformats.org/officeDocument/2006/relationships/hyperlink" Target="Cahier_de_recette_Prestige_par_module.xlsx" TargetMode="External"/><Relationship Id="rId6" Type="http://schemas.openxmlformats.org/officeDocument/2006/relationships/hyperlink" Target="Cahier_de_recette_Prestige_par_module.xlsx" TargetMode="External"/><Relationship Id="rId7" Type="http://schemas.openxmlformats.org/officeDocument/2006/relationships/hyperlink" Target="Cahier_de_recette_Prestige_par_module.xlsx" TargetMode="External"/><Relationship Id="rId8" Type="http://schemas.openxmlformats.org/officeDocument/2006/relationships/hyperlink" Target="Cahier_de_recette_Prestige_par_module.xlsx" TargetMode="External"/><Relationship Id="rId9" Type="http://schemas.openxmlformats.org/officeDocument/2006/relationships/hyperlink" Target="Cahier_de_recette_Prestige_par_module.xlsx" TargetMode="External"/><Relationship Id="rId10" Type="http://schemas.openxmlformats.org/officeDocument/2006/relationships/hyperlink" Target="Cahier_de_recette_Prestige_par_module.xlsx" TargetMode="External"/><Relationship Id="rId11" Type="http://schemas.openxmlformats.org/officeDocument/2006/relationships/hyperlink" Target="Cahier_de_recette_Prestige_par_module.xlsx" TargetMode="External"/><Relationship Id="rId12" Type="http://schemas.openxmlformats.org/officeDocument/2006/relationships/hyperlink" Target="Cahier_de_recette_Prestige_par_module.xlsx" TargetMode="External"/><Relationship Id="rId13" Type="http://schemas.openxmlformats.org/officeDocument/2006/relationships/hyperlink" Target="Cahier_de_recette_Prestige_par_module.xlsx" TargetMode="External"/><Relationship Id="rId14" Type="http://schemas.openxmlformats.org/officeDocument/2006/relationships/hyperlink" Target="Cahier_de_recette_Prestige_par_module.xlsx" TargetMode="External"/><Relationship Id="rId15" Type="http://schemas.openxmlformats.org/officeDocument/2006/relationships/hyperlink" Target="Cahier_de_recette_Prestige_par_module.xlsx" TargetMode="External"/><Relationship Id="rId16" Type="http://schemas.openxmlformats.org/officeDocument/2006/relationships/hyperlink" Target="Cahier_de_recette_Prestige_par_module.xlsx" TargetMode="External"/><Relationship Id="rId17" Type="http://schemas.openxmlformats.org/officeDocument/2006/relationships/hyperlink" Target="Cahier_de_recette_Prestige_par_module.xlsx" TargetMode="External"/><Relationship Id="rId18" Type="http://schemas.openxmlformats.org/officeDocument/2006/relationships/hyperlink" Target="Cahier_de_recette_Prestige_par_module.xlsx" TargetMode="External"/><Relationship Id="rId19" Type="http://schemas.openxmlformats.org/officeDocument/2006/relationships/hyperlink" Target="Cahier_de_recette_Prestige_par_module.xlsx" TargetMode="External"/><Relationship Id="rId20" Type="http://schemas.openxmlformats.org/officeDocument/2006/relationships/hyperlink" Target="Cahier_de_recette_Prestige_par_module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5" min="3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15" hidden="false" customHeight="false" outlineLevel="0" collapsed="false">
      <c r="A5" s="4" t="s">
        <v>17</v>
      </c>
      <c r="B5" s="5" t="s">
        <v>17</v>
      </c>
      <c r="C5" s="4" t="n">
        <f aca="false">Transversal!$C$5</f>
        <v>17</v>
      </c>
      <c r="D5" s="4" t="n">
        <f aca="false">Transversal!$C$7</f>
        <v>0</v>
      </c>
      <c r="E5" s="4" t="n">
        <f aca="false">Transversal!$C$8</f>
        <v>0</v>
      </c>
      <c r="F5" s="4" t="n">
        <f aca="false">Transversal!$C$9</f>
        <v>0</v>
      </c>
      <c r="G5" s="4" t="n">
        <f aca="false">Transversal!$C$10</f>
        <v>0</v>
      </c>
      <c r="H5" s="4" t="n">
        <f aca="false">Transversal!$C$6</f>
        <v>17</v>
      </c>
      <c r="I5" s="6" t="n">
        <f aca="false">Transversal!$G$5</f>
        <v>0</v>
      </c>
      <c r="J5" s="6" t="n">
        <f aca="false">Transversal!$G$6</f>
        <v>0</v>
      </c>
      <c r="K5" s="4" t="n">
        <f aca="false">Transversal!$G$7</f>
        <v>0</v>
      </c>
      <c r="L5" s="4" t="n">
        <f aca="false">COUNTIF(Transversal!$N$13:$N$29,"OK")</f>
        <v>11</v>
      </c>
      <c r="M5" s="4" t="n">
        <f aca="false">COUNTIF(Transversal!$N$13:$N$29,"OK PARTIEL")</f>
        <v>6</v>
      </c>
      <c r="N5" s="4" t="n">
        <f aca="false">COUNTIF(Transversal!$N$13:$N$29,"KO")</f>
        <v>0</v>
      </c>
      <c r="O5" s="4" t="n">
        <f aca="false">COUNTIF(Transversal!$N$13:$N$29,"NON EXÉCUTÉ")</f>
        <v>0</v>
      </c>
    </row>
    <row r="6" customFormat="false" ht="15" hidden="false" customHeight="false" outlineLevel="0" collapsed="false">
      <c r="A6" s="7" t="s">
        <v>18</v>
      </c>
      <c r="B6" s="8" t="s">
        <v>19</v>
      </c>
      <c r="C6" s="7" t="n">
        <f aca="false">'Service client'!$C$5</f>
        <v>44</v>
      </c>
      <c r="D6" s="7" t="n">
        <f aca="false">'Service client'!$C$7</f>
        <v>0</v>
      </c>
      <c r="E6" s="7" t="n">
        <f aca="false">'Service client'!$C$8</f>
        <v>0</v>
      </c>
      <c r="F6" s="7" t="n">
        <f aca="false">'Service client'!$C$9</f>
        <v>0</v>
      </c>
      <c r="G6" s="7" t="n">
        <f aca="false">'Service client'!$C$10</f>
        <v>0</v>
      </c>
      <c r="H6" s="7" t="n">
        <f aca="false">'Service client'!$C$6</f>
        <v>44</v>
      </c>
      <c r="I6" s="9" t="n">
        <f aca="false">'Service client'!$G$5</f>
        <v>0</v>
      </c>
      <c r="J6" s="9" t="n">
        <f aca="false">'Service client'!$G$6</f>
        <v>0</v>
      </c>
      <c r="K6" s="7" t="n">
        <f aca="false">'Service client'!$G$7</f>
        <v>0</v>
      </c>
      <c r="L6" s="7" t="n">
        <f aca="false">COUNTIF('Service client'!$N$13:$N$56,"OK")</f>
        <v>34</v>
      </c>
      <c r="M6" s="7" t="n">
        <f aca="false">COUNTIF('Service client'!$N$13:$N$56,"OK PARTIEL")</f>
        <v>3</v>
      </c>
      <c r="N6" s="7" t="n">
        <f aca="false">COUNTIF('Service client'!$N$13:$N$56,"KO")</f>
        <v>0</v>
      </c>
      <c r="O6" s="7" t="n">
        <f aca="false">COUNTIF('Service client'!$N$13:$N$56,"NON EXÉCUTÉ")</f>
        <v>7</v>
      </c>
    </row>
    <row r="7" customFormat="false" ht="15" hidden="false" customHeight="false" outlineLevel="0" collapsed="false">
      <c r="A7" s="4" t="s">
        <v>20</v>
      </c>
      <c r="B7" s="5" t="s">
        <v>21</v>
      </c>
      <c r="C7" s="4" t="n">
        <f aca="false">'Gestion courante'!$C$5</f>
        <v>19</v>
      </c>
      <c r="D7" s="4" t="n">
        <f aca="false">'Gestion courante'!$C$7</f>
        <v>0</v>
      </c>
      <c r="E7" s="4" t="n">
        <f aca="false">'Gestion courante'!$C$8</f>
        <v>0</v>
      </c>
      <c r="F7" s="4" t="n">
        <f aca="false">'Gestion courante'!$C$9</f>
        <v>0</v>
      </c>
      <c r="G7" s="4" t="n">
        <f aca="false">'Gestion courante'!$C$10</f>
        <v>0</v>
      </c>
      <c r="H7" s="4" t="n">
        <f aca="false">'Gestion courante'!$C$6</f>
        <v>19</v>
      </c>
      <c r="I7" s="6" t="n">
        <f aca="false">'Gestion courante'!$G$5</f>
        <v>0</v>
      </c>
      <c r="J7" s="6" t="n">
        <f aca="false">'Gestion courante'!$G$6</f>
        <v>0</v>
      </c>
      <c r="K7" s="4" t="n">
        <f aca="false">'Gestion courante'!$G$7</f>
        <v>0</v>
      </c>
      <c r="L7" s="4" t="n">
        <f aca="false">COUNTIF('Gestion courante'!$N$13:$N$31,"OK")</f>
        <v>16</v>
      </c>
      <c r="M7" s="4" t="n">
        <f aca="false">COUNTIF('Gestion courante'!$N$13:$N$31,"OK PARTIEL")</f>
        <v>0</v>
      </c>
      <c r="N7" s="4" t="n">
        <f aca="false">COUNTIF('Gestion courante'!$N$13:$N$31,"KO")</f>
        <v>0</v>
      </c>
      <c r="O7" s="4" t="n">
        <f aca="false">COUNTIF('Gestion courante'!$N$13:$N$31,"NON EXÉCUTÉ")</f>
        <v>3</v>
      </c>
    </row>
    <row r="8" customFormat="false" ht="15" hidden="false" customHeight="false" outlineLevel="0" collapsed="false">
      <c r="A8" s="7" t="s">
        <v>22</v>
      </c>
      <c r="B8" s="8" t="s">
        <v>23</v>
      </c>
      <c r="C8" s="7" t="n">
        <f aca="false">Facturation!$C$5</f>
        <v>13</v>
      </c>
      <c r="D8" s="7" t="n">
        <f aca="false">Facturation!$C$7</f>
        <v>0</v>
      </c>
      <c r="E8" s="7" t="n">
        <f aca="false">Facturation!$C$8</f>
        <v>0</v>
      </c>
      <c r="F8" s="7" t="n">
        <f aca="false">Facturation!$C$9</f>
        <v>0</v>
      </c>
      <c r="G8" s="7" t="n">
        <f aca="false">Facturation!$C$10</f>
        <v>0</v>
      </c>
      <c r="H8" s="7" t="n">
        <f aca="false">Facturation!$C$6</f>
        <v>13</v>
      </c>
      <c r="I8" s="9" t="n">
        <f aca="false">Facturation!$G$5</f>
        <v>0</v>
      </c>
      <c r="J8" s="9" t="n">
        <f aca="false">Facturation!$G$6</f>
        <v>0</v>
      </c>
      <c r="K8" s="7" t="n">
        <f aca="false">Facturation!$G$7</f>
        <v>0</v>
      </c>
      <c r="L8" s="7" t="n">
        <f aca="false">COUNTIF(Facturation!$N$13:$N$25,"OK")</f>
        <v>11</v>
      </c>
      <c r="M8" s="7" t="n">
        <f aca="false">COUNTIF(Facturation!$N$13:$N$25,"OK PARTIEL")</f>
        <v>2</v>
      </c>
      <c r="N8" s="7" t="n">
        <f aca="false">COUNTIF(Facturation!$N$13:$N$25,"KO")</f>
        <v>0</v>
      </c>
      <c r="O8" s="7" t="n">
        <f aca="false">COUNTIF(Facturation!$N$13:$N$25,"NON EXÉCUTÉ")</f>
        <v>0</v>
      </c>
    </row>
    <row r="9" customFormat="false" ht="15" hidden="false" customHeight="false" outlineLevel="0" collapsed="false">
      <c r="A9" s="4" t="s">
        <v>24</v>
      </c>
      <c r="B9" s="5" t="s">
        <v>25</v>
      </c>
      <c r="C9" s="4" t="n">
        <f aca="false">'Gestion des promotions'!$C$5</f>
        <v>2</v>
      </c>
      <c r="D9" s="4" t="n">
        <f aca="false">'Gestion des promotions'!$C$7</f>
        <v>0</v>
      </c>
      <c r="E9" s="4" t="n">
        <f aca="false">'Gestion des promotions'!$C$8</f>
        <v>0</v>
      </c>
      <c r="F9" s="4" t="n">
        <f aca="false">'Gestion des promotions'!$C$9</f>
        <v>0</v>
      </c>
      <c r="G9" s="4" t="n">
        <f aca="false">'Gestion des promotions'!$C$10</f>
        <v>0</v>
      </c>
      <c r="H9" s="4" t="n">
        <f aca="false">'Gestion des promotions'!$C$6</f>
        <v>2</v>
      </c>
      <c r="I9" s="6" t="n">
        <f aca="false">'Gestion des promotions'!$G$5</f>
        <v>0</v>
      </c>
      <c r="J9" s="6" t="n">
        <f aca="false">'Gestion des promotions'!$G$6</f>
        <v>0</v>
      </c>
      <c r="K9" s="4" t="n">
        <f aca="false">'Gestion des promotions'!$G$7</f>
        <v>0</v>
      </c>
      <c r="L9" s="4" t="n">
        <f aca="false">COUNTIF('Gestion des promotions'!$N$13:$N$14,"OK")</f>
        <v>2</v>
      </c>
      <c r="M9" s="4" t="n">
        <f aca="false">COUNTIF('Gestion des promotions'!$N$13:$N$14,"OK PARTIEL")</f>
        <v>0</v>
      </c>
      <c r="N9" s="4" t="n">
        <f aca="false">COUNTIF('Gestion des promotions'!$N$13:$N$14,"KO")</f>
        <v>0</v>
      </c>
      <c r="O9" s="4" t="n">
        <f aca="false">COUNTIF('Gestion des promotions'!$N$13:$N$14,"NON EXÉCUTÉ")</f>
        <v>0</v>
      </c>
    </row>
    <row r="10" customFormat="false" ht="15" hidden="false" customHeight="false" outlineLevel="0" collapsed="false">
      <c r="A10" s="7" t="s">
        <v>26</v>
      </c>
      <c r="B10" s="8" t="s">
        <v>27</v>
      </c>
      <c r="C10" s="7" t="n">
        <f aca="false">'Gestion des tiers-payants'!$C$5</f>
        <v>30</v>
      </c>
      <c r="D10" s="7" t="n">
        <f aca="false">'Gestion des tiers-payants'!$C$7</f>
        <v>0</v>
      </c>
      <c r="E10" s="7" t="n">
        <f aca="false">'Gestion des tiers-payants'!$C$8</f>
        <v>0</v>
      </c>
      <c r="F10" s="7" t="n">
        <f aca="false">'Gestion des tiers-payants'!$C$9</f>
        <v>0</v>
      </c>
      <c r="G10" s="7" t="n">
        <f aca="false">'Gestion des tiers-payants'!$C$10</f>
        <v>0</v>
      </c>
      <c r="H10" s="7" t="n">
        <f aca="false">'Gestion des tiers-payants'!$C$6</f>
        <v>30</v>
      </c>
      <c r="I10" s="9" t="n">
        <f aca="false">'Gestion des tiers-payants'!$G$5</f>
        <v>0</v>
      </c>
      <c r="J10" s="9" t="n">
        <f aca="false">'Gestion des tiers-payants'!$G$6</f>
        <v>0</v>
      </c>
      <c r="K10" s="7" t="n">
        <f aca="false">'Gestion des tiers-payants'!$G$7</f>
        <v>0</v>
      </c>
      <c r="L10" s="7" t="n">
        <f aca="false">COUNTIF('Gestion des tiers-payants'!$N$13:$N$42,"OK")</f>
        <v>27</v>
      </c>
      <c r="M10" s="7" t="n">
        <f aca="false">COUNTIF('Gestion des tiers-payants'!$N$13:$N$42,"OK PARTIEL")</f>
        <v>1</v>
      </c>
      <c r="N10" s="7" t="n">
        <f aca="false">COUNTIF('Gestion des tiers-payants'!$N$13:$N$42,"KO")</f>
        <v>0</v>
      </c>
      <c r="O10" s="7" t="n">
        <f aca="false">COUNTIF('Gestion des tiers-payants'!$N$13:$N$42,"NON EXÉCUTÉ")</f>
        <v>2</v>
      </c>
    </row>
    <row r="11" customFormat="false" ht="15" hidden="false" customHeight="false" outlineLevel="0" collapsed="false">
      <c r="A11" s="4" t="s">
        <v>28</v>
      </c>
      <c r="B11" s="5" t="s">
        <v>29</v>
      </c>
      <c r="C11" s="4" t="n">
        <f aca="false">'Menu pharmacien'!$C$5</f>
        <v>4</v>
      </c>
      <c r="D11" s="4" t="n">
        <f aca="false">'Menu pharmacien'!$C$7</f>
        <v>0</v>
      </c>
      <c r="E11" s="4" t="n">
        <f aca="false">'Menu pharmacien'!$C$8</f>
        <v>0</v>
      </c>
      <c r="F11" s="4" t="n">
        <f aca="false">'Menu pharmacien'!$C$9</f>
        <v>0</v>
      </c>
      <c r="G11" s="4" t="n">
        <f aca="false">'Menu pharmacien'!$C$10</f>
        <v>0</v>
      </c>
      <c r="H11" s="4" t="n">
        <f aca="false">'Menu pharmacien'!$C$6</f>
        <v>4</v>
      </c>
      <c r="I11" s="6" t="n">
        <f aca="false">'Menu pharmacien'!$G$5</f>
        <v>0</v>
      </c>
      <c r="J11" s="6" t="n">
        <f aca="false">'Menu pharmacien'!$G$6</f>
        <v>0</v>
      </c>
      <c r="K11" s="4" t="n">
        <f aca="false">'Menu pharmacien'!$G$7</f>
        <v>0</v>
      </c>
      <c r="L11" s="4" t="n">
        <f aca="false">COUNTIF('Menu pharmacien'!$N$13:$N$16,"OK")</f>
        <v>4</v>
      </c>
      <c r="M11" s="4" t="n">
        <f aca="false">COUNTIF('Menu pharmacien'!$N$13:$N$16,"OK PARTIEL")</f>
        <v>0</v>
      </c>
      <c r="N11" s="4" t="n">
        <f aca="false">COUNTIF('Menu pharmacien'!$N$13:$N$16,"KO")</f>
        <v>0</v>
      </c>
      <c r="O11" s="4" t="n">
        <f aca="false">COUNTIF('Menu pharmacien'!$N$13:$N$16,"NON EXÉCUTÉ")</f>
        <v>0</v>
      </c>
    </row>
    <row r="12" customFormat="false" ht="15" hidden="false" customHeight="false" outlineLevel="0" collapsed="false">
      <c r="A12" s="7" t="s">
        <v>30</v>
      </c>
      <c r="B12" s="8" t="s">
        <v>31</v>
      </c>
      <c r="C12" s="7" t="n">
        <f aca="false">'Gestion des commandes'!$C$5</f>
        <v>30</v>
      </c>
      <c r="D12" s="7" t="n">
        <f aca="false">'Gestion des commandes'!$C$7</f>
        <v>0</v>
      </c>
      <c r="E12" s="7" t="n">
        <f aca="false">'Gestion des commandes'!$C$8</f>
        <v>0</v>
      </c>
      <c r="F12" s="7" t="n">
        <f aca="false">'Gestion des commandes'!$C$9</f>
        <v>0</v>
      </c>
      <c r="G12" s="7" t="n">
        <f aca="false">'Gestion des commandes'!$C$10</f>
        <v>0</v>
      </c>
      <c r="H12" s="7" t="n">
        <f aca="false">'Gestion des commandes'!$C$6</f>
        <v>30</v>
      </c>
      <c r="I12" s="9" t="n">
        <f aca="false">'Gestion des commandes'!$G$5</f>
        <v>0</v>
      </c>
      <c r="J12" s="9" t="n">
        <f aca="false">'Gestion des commandes'!$G$6</f>
        <v>0</v>
      </c>
      <c r="K12" s="7" t="n">
        <f aca="false">'Gestion des commandes'!$G$7</f>
        <v>0</v>
      </c>
      <c r="L12" s="7" t="n">
        <f aca="false">COUNTIF('Gestion des commandes'!$N$13:$N$42,"OK")</f>
        <v>24</v>
      </c>
      <c r="M12" s="7" t="n">
        <f aca="false">COUNTIF('Gestion des commandes'!$N$13:$N$42,"OK PARTIEL")</f>
        <v>1</v>
      </c>
      <c r="N12" s="7" t="n">
        <f aca="false">COUNTIF('Gestion des commandes'!$N$13:$N$42,"KO")</f>
        <v>0</v>
      </c>
      <c r="O12" s="7" t="n">
        <f aca="false">COUNTIF('Gestion des commandes'!$N$13:$N$42,"NON EXÉCUTÉ")</f>
        <v>5</v>
      </c>
    </row>
    <row r="13" customFormat="false" ht="15" hidden="false" customHeight="false" outlineLevel="0" collapsed="false">
      <c r="A13" s="4" t="s">
        <v>32</v>
      </c>
      <c r="B13" s="5" t="s">
        <v>33</v>
      </c>
      <c r="C13" s="4" t="n">
        <f aca="false">'Gestion du stock'!$C$5</f>
        <v>46</v>
      </c>
      <c r="D13" s="4" t="n">
        <f aca="false">'Gestion du stock'!$C$7</f>
        <v>0</v>
      </c>
      <c r="E13" s="4" t="n">
        <f aca="false">'Gestion du stock'!$C$8</f>
        <v>0</v>
      </c>
      <c r="F13" s="4" t="n">
        <f aca="false">'Gestion du stock'!$C$9</f>
        <v>0</v>
      </c>
      <c r="G13" s="4" t="n">
        <f aca="false">'Gestion du stock'!$C$10</f>
        <v>0</v>
      </c>
      <c r="H13" s="4" t="n">
        <f aca="false">'Gestion du stock'!$C$6</f>
        <v>46</v>
      </c>
      <c r="I13" s="6" t="n">
        <f aca="false">'Gestion du stock'!$G$5</f>
        <v>0</v>
      </c>
      <c r="J13" s="6" t="n">
        <f aca="false">'Gestion du stock'!$G$6</f>
        <v>0</v>
      </c>
      <c r="K13" s="4" t="n">
        <f aca="false">'Gestion du stock'!$G$7</f>
        <v>0</v>
      </c>
      <c r="L13" s="4" t="n">
        <f aca="false">COUNTIF('Gestion du stock'!$N$13:$N$58,"OK")</f>
        <v>39</v>
      </c>
      <c r="M13" s="4" t="n">
        <f aca="false">COUNTIF('Gestion du stock'!$N$13:$N$58,"OK PARTIEL")</f>
        <v>3</v>
      </c>
      <c r="N13" s="4" t="n">
        <f aca="false">COUNTIF('Gestion du stock'!$N$13:$N$58,"KO")</f>
        <v>0</v>
      </c>
      <c r="O13" s="4" t="n">
        <f aca="false">COUNTIF('Gestion du stock'!$N$13:$N$58,"NON EXÉCUTÉ")</f>
        <v>4</v>
      </c>
    </row>
    <row r="14" customFormat="false" ht="15" hidden="false" customHeight="false" outlineLevel="0" collapsed="false">
      <c r="A14" s="7" t="s">
        <v>34</v>
      </c>
      <c r="B14" s="8" t="s">
        <v>35</v>
      </c>
      <c r="C14" s="7" t="n">
        <f aca="false">Parametrages!$C$5</f>
        <v>35</v>
      </c>
      <c r="D14" s="7" t="n">
        <f aca="false">Parametrages!$C$7</f>
        <v>0</v>
      </c>
      <c r="E14" s="7" t="n">
        <f aca="false">Parametrages!$C$8</f>
        <v>0</v>
      </c>
      <c r="F14" s="7" t="n">
        <f aca="false">Parametrages!$C$9</f>
        <v>0</v>
      </c>
      <c r="G14" s="7" t="n">
        <f aca="false">Parametrages!$C$10</f>
        <v>0</v>
      </c>
      <c r="H14" s="7" t="n">
        <f aca="false">Parametrages!$C$6</f>
        <v>35</v>
      </c>
      <c r="I14" s="9" t="n">
        <f aca="false">Parametrages!$G$5</f>
        <v>0</v>
      </c>
      <c r="J14" s="9" t="n">
        <f aca="false">Parametrages!$G$6</f>
        <v>0</v>
      </c>
      <c r="K14" s="7" t="n">
        <f aca="false">Parametrages!$G$7</f>
        <v>0</v>
      </c>
      <c r="L14" s="7" t="n">
        <f aca="false">COUNTIF(Parametrages!$N$13:$N$47,"OK")</f>
        <v>31</v>
      </c>
      <c r="M14" s="7" t="n">
        <f aca="false">COUNTIF(Parametrages!$N$13:$N$47,"OK PARTIEL")</f>
        <v>2</v>
      </c>
      <c r="N14" s="7" t="n">
        <f aca="false">COUNTIF(Parametrages!$N$13:$N$47,"KO")</f>
        <v>0</v>
      </c>
      <c r="O14" s="7" t="n">
        <f aca="false">COUNTIF(Parametrages!$N$13:$N$47,"NON EXÉCUTÉ")</f>
        <v>2</v>
      </c>
    </row>
    <row r="15" customFormat="false" ht="15" hidden="false" customHeight="false" outlineLevel="0" collapsed="false">
      <c r="A15" s="4" t="s">
        <v>36</v>
      </c>
      <c r="B15" s="5" t="s">
        <v>37</v>
      </c>
      <c r="C15" s="4" t="n">
        <f aca="false">Retrocession!$C$5</f>
        <v>2</v>
      </c>
      <c r="D15" s="4" t="n">
        <f aca="false">Retrocession!$C$7</f>
        <v>0</v>
      </c>
      <c r="E15" s="4" t="n">
        <f aca="false">Retrocession!$C$8</f>
        <v>0</v>
      </c>
      <c r="F15" s="4" t="n">
        <f aca="false">Retrocession!$C$9</f>
        <v>0</v>
      </c>
      <c r="G15" s="4" t="n">
        <f aca="false">Retrocession!$C$10</f>
        <v>0</v>
      </c>
      <c r="H15" s="4" t="n">
        <f aca="false">Retrocession!$C$6</f>
        <v>2</v>
      </c>
      <c r="I15" s="6" t="n">
        <f aca="false">Retrocession!$G$5</f>
        <v>0</v>
      </c>
      <c r="J15" s="6" t="n">
        <f aca="false">Retrocession!$G$6</f>
        <v>0</v>
      </c>
      <c r="K15" s="4" t="n">
        <f aca="false">Retrocession!$G$7</f>
        <v>0</v>
      </c>
      <c r="L15" s="4" t="n">
        <f aca="false">COUNTIF(Retrocession!$N$13:$N$14,"OK")</f>
        <v>2</v>
      </c>
      <c r="M15" s="4" t="n">
        <f aca="false">COUNTIF(Retrocession!$N$13:$N$14,"OK PARTIEL")</f>
        <v>0</v>
      </c>
      <c r="N15" s="4" t="n">
        <f aca="false">COUNTIF(Retrocession!$N$13:$N$14,"KO")</f>
        <v>0</v>
      </c>
      <c r="O15" s="4" t="n">
        <f aca="false">COUNTIF(Retrocession!$N$13:$N$14,"NON EXÉCUTÉ")</f>
        <v>0</v>
      </c>
    </row>
    <row r="16" customFormat="false" ht="15" hidden="false" customHeight="false" outlineLevel="0" collapsed="false">
      <c r="A16" s="7" t="s">
        <v>38</v>
      </c>
      <c r="B16" s="8" t="s">
        <v>39</v>
      </c>
      <c r="C16" s="7" t="n">
        <f aca="false">'Analyse de gestion'!$C$5</f>
        <v>48</v>
      </c>
      <c r="D16" s="7" t="n">
        <f aca="false">'Analyse de gestion'!$C$7</f>
        <v>0</v>
      </c>
      <c r="E16" s="7" t="n">
        <f aca="false">'Analyse de gestion'!$C$8</f>
        <v>0</v>
      </c>
      <c r="F16" s="7" t="n">
        <f aca="false">'Analyse de gestion'!$C$9</f>
        <v>0</v>
      </c>
      <c r="G16" s="7" t="n">
        <f aca="false">'Analyse de gestion'!$C$10</f>
        <v>0</v>
      </c>
      <c r="H16" s="7" t="n">
        <f aca="false">'Analyse de gestion'!$C$6</f>
        <v>48</v>
      </c>
      <c r="I16" s="9" t="n">
        <f aca="false">'Analyse de gestion'!$G$5</f>
        <v>0</v>
      </c>
      <c r="J16" s="9" t="n">
        <f aca="false">'Analyse de gestion'!$G$6</f>
        <v>0</v>
      </c>
      <c r="K16" s="7" t="n">
        <f aca="false">'Analyse de gestion'!$G$7</f>
        <v>0</v>
      </c>
      <c r="L16" s="7" t="n">
        <f aca="false">COUNTIF('Analyse de gestion'!$N$13:$N$60,"OK")</f>
        <v>40</v>
      </c>
      <c r="M16" s="7" t="n">
        <f aca="false">COUNTIF('Analyse de gestion'!$N$13:$N$60,"OK PARTIEL")</f>
        <v>1</v>
      </c>
      <c r="N16" s="7" t="n">
        <f aca="false">COUNTIF('Analyse de gestion'!$N$13:$N$60,"KO")</f>
        <v>0</v>
      </c>
      <c r="O16" s="7" t="n">
        <f aca="false">COUNTIF('Analyse de gestion'!$N$13:$N$60,"NON EXÉCUTÉ")</f>
        <v>7</v>
      </c>
    </row>
    <row r="17" customFormat="false" ht="15" hidden="false" customHeight="false" outlineLevel="0" collapsed="false">
      <c r="A17" s="4" t="s">
        <v>40</v>
      </c>
      <c r="B17" s="5" t="s">
        <v>41</v>
      </c>
      <c r="C17" s="4" t="n">
        <f aca="false">Notifications!$C$5</f>
        <v>6</v>
      </c>
      <c r="D17" s="4" t="n">
        <f aca="false">Notifications!$C$7</f>
        <v>0</v>
      </c>
      <c r="E17" s="4" t="n">
        <f aca="false">Notifications!$C$8</f>
        <v>0</v>
      </c>
      <c r="F17" s="4" t="n">
        <f aca="false">Notifications!$C$9</f>
        <v>0</v>
      </c>
      <c r="G17" s="4" t="n">
        <f aca="false">Notifications!$C$10</f>
        <v>0</v>
      </c>
      <c r="H17" s="4" t="n">
        <f aca="false">Notifications!$C$6</f>
        <v>6</v>
      </c>
      <c r="I17" s="6" t="n">
        <f aca="false">Notifications!$G$5</f>
        <v>0</v>
      </c>
      <c r="J17" s="6" t="n">
        <f aca="false">Notifications!$G$6</f>
        <v>0</v>
      </c>
      <c r="K17" s="4" t="n">
        <f aca="false">Notifications!$G$7</f>
        <v>0</v>
      </c>
      <c r="L17" s="4" t="n">
        <f aca="false">COUNTIF(Notifications!$N$13:$N$18,"OK")</f>
        <v>5</v>
      </c>
      <c r="M17" s="4" t="n">
        <f aca="false">COUNTIF(Notifications!$N$13:$N$18,"OK PARTIEL")</f>
        <v>0</v>
      </c>
      <c r="N17" s="4" t="n">
        <f aca="false">COUNTIF(Notifications!$N$13:$N$18,"KO")</f>
        <v>0</v>
      </c>
      <c r="O17" s="4" t="n">
        <f aca="false">COUNTIF(Notifications!$N$13:$N$18,"NON EXÉCUTÉ")</f>
        <v>1</v>
      </c>
    </row>
    <row r="18" customFormat="false" ht="15" hidden="false" customHeight="false" outlineLevel="0" collapsed="false">
      <c r="A18" s="7" t="s">
        <v>42</v>
      </c>
      <c r="B18" s="8" t="s">
        <v>43</v>
      </c>
      <c r="C18" s="7" t="n">
        <f aca="false">'Gestion des utilisateurs'!$C$5</f>
        <v>6</v>
      </c>
      <c r="D18" s="7" t="n">
        <f aca="false">'Gestion des utilisateurs'!$C$7</f>
        <v>0</v>
      </c>
      <c r="E18" s="7" t="n">
        <f aca="false">'Gestion des utilisateurs'!$C$8</f>
        <v>0</v>
      </c>
      <c r="F18" s="7" t="n">
        <f aca="false">'Gestion des utilisateurs'!$C$9</f>
        <v>0</v>
      </c>
      <c r="G18" s="7" t="n">
        <f aca="false">'Gestion des utilisateurs'!$C$10</f>
        <v>0</v>
      </c>
      <c r="H18" s="7" t="n">
        <f aca="false">'Gestion des utilisateurs'!$C$6</f>
        <v>6</v>
      </c>
      <c r="I18" s="9" t="n">
        <f aca="false">'Gestion des utilisateurs'!$G$5</f>
        <v>0</v>
      </c>
      <c r="J18" s="9" t="n">
        <f aca="false">'Gestion des utilisateurs'!$G$6</f>
        <v>0</v>
      </c>
      <c r="K18" s="7" t="n">
        <f aca="false">'Gestion des utilisateurs'!$G$7</f>
        <v>0</v>
      </c>
      <c r="L18" s="7" t="n">
        <f aca="false">COUNTIF('Gestion des utilisateurs'!$N$13:$N$18,"OK")</f>
        <v>5</v>
      </c>
      <c r="M18" s="7" t="n">
        <f aca="false">COUNTIF('Gestion des utilisateurs'!$N$13:$N$18,"OK PARTIEL")</f>
        <v>0</v>
      </c>
      <c r="N18" s="7" t="n">
        <f aca="false">COUNTIF('Gestion des utilisateurs'!$N$13:$N$18,"KO")</f>
        <v>0</v>
      </c>
      <c r="O18" s="7" t="n">
        <f aca="false">COUNTIF('Gestion des utilisateurs'!$N$13:$N$18,"NON EXÉCUTÉ")</f>
        <v>1</v>
      </c>
    </row>
    <row r="19" customFormat="false" ht="15" hidden="false" customHeight="false" outlineLevel="0" collapsed="false">
      <c r="A19" s="4" t="s">
        <v>44</v>
      </c>
      <c r="B19" s="5" t="s">
        <v>45</v>
      </c>
      <c r="C19" s="4" t="n">
        <f aca="false">Configuration!$C$5</f>
        <v>10</v>
      </c>
      <c r="D19" s="4" t="n">
        <f aca="false">Configuration!$C$7</f>
        <v>0</v>
      </c>
      <c r="E19" s="4" t="n">
        <f aca="false">Configuration!$C$8</f>
        <v>0</v>
      </c>
      <c r="F19" s="4" t="n">
        <f aca="false">Configuration!$C$9</f>
        <v>0</v>
      </c>
      <c r="G19" s="4" t="n">
        <f aca="false">Configuration!$C$10</f>
        <v>0</v>
      </c>
      <c r="H19" s="4" t="n">
        <f aca="false">Configuration!$C$6</f>
        <v>10</v>
      </c>
      <c r="I19" s="6" t="n">
        <f aca="false">Configuration!$G$5</f>
        <v>0</v>
      </c>
      <c r="J19" s="6" t="n">
        <f aca="false">Configuration!$G$6</f>
        <v>0</v>
      </c>
      <c r="K19" s="4" t="n">
        <f aca="false">Configuration!$G$7</f>
        <v>0</v>
      </c>
      <c r="L19" s="4" t="n">
        <f aca="false">COUNTIF(Configuration!$N$13:$N$22,"OK")</f>
        <v>3</v>
      </c>
      <c r="M19" s="4" t="n">
        <f aca="false">COUNTIF(Configuration!$N$13:$N$22,"OK PARTIEL")</f>
        <v>0</v>
      </c>
      <c r="N19" s="4" t="n">
        <f aca="false">COUNTIF(Configuration!$N$13:$N$22,"KO")</f>
        <v>0</v>
      </c>
      <c r="O19" s="4" t="n">
        <f aca="false">COUNTIF(Configuration!$N$13:$N$22,"NON EXÉCUTÉ")</f>
        <v>7</v>
      </c>
    </row>
    <row r="20" customFormat="false" ht="15" hidden="false" customHeight="false" outlineLevel="0" collapsed="false">
      <c r="A20" s="7" t="s">
        <v>46</v>
      </c>
      <c r="B20" s="8" t="s">
        <v>47</v>
      </c>
      <c r="C20" s="7" t="n">
        <f aca="false">'Campagnes SMS - WhatsApp'!$C$5</f>
        <v>3</v>
      </c>
      <c r="D20" s="7" t="n">
        <f aca="false">'Campagnes SMS - WhatsApp'!$C$7</f>
        <v>0</v>
      </c>
      <c r="E20" s="7" t="n">
        <f aca="false">'Campagnes SMS - WhatsApp'!$C$8</f>
        <v>0</v>
      </c>
      <c r="F20" s="7" t="n">
        <f aca="false">'Campagnes SMS - WhatsApp'!$C$9</f>
        <v>0</v>
      </c>
      <c r="G20" s="7" t="n">
        <f aca="false">'Campagnes SMS - WhatsApp'!$C$10</f>
        <v>0</v>
      </c>
      <c r="H20" s="7" t="n">
        <f aca="false">'Campagnes SMS - WhatsApp'!$C$6</f>
        <v>3</v>
      </c>
      <c r="I20" s="9" t="n">
        <f aca="false">'Campagnes SMS - WhatsApp'!$G$5</f>
        <v>0</v>
      </c>
      <c r="J20" s="9" t="n">
        <f aca="false">'Campagnes SMS - WhatsApp'!$G$6</f>
        <v>0</v>
      </c>
      <c r="K20" s="7" t="n">
        <f aca="false">'Campagnes SMS - WhatsApp'!$G$7</f>
        <v>0</v>
      </c>
      <c r="L20" s="7" t="n">
        <f aca="false">COUNTIF('Campagnes SMS - WhatsApp'!$N$13:$N$15,"OK")</f>
        <v>3</v>
      </c>
      <c r="M20" s="7" t="n">
        <f aca="false">COUNTIF('Campagnes SMS - WhatsApp'!$N$13:$N$15,"OK PARTIEL")</f>
        <v>0</v>
      </c>
      <c r="N20" s="7" t="n">
        <f aca="false">COUNTIF('Campagnes SMS - WhatsApp'!$N$13:$N$15,"KO")</f>
        <v>0</v>
      </c>
      <c r="O20" s="7" t="n">
        <f aca="false">COUNTIF('Campagnes SMS - WhatsApp'!$N$13:$N$15,"NON EXÉCUTÉ")</f>
        <v>0</v>
      </c>
    </row>
    <row r="21" customFormat="false" ht="15" hidden="false" customHeight="false" outlineLevel="0" collapsed="false">
      <c r="A21" s="4" t="s">
        <v>48</v>
      </c>
      <c r="B21" s="5" t="s">
        <v>49</v>
      </c>
      <c r="C21" s="4" t="n">
        <f aca="false">'Ressources humaines'!$C$5</f>
        <v>8</v>
      </c>
      <c r="D21" s="4" t="n">
        <f aca="false">'Ressources humaines'!$C$7</f>
        <v>0</v>
      </c>
      <c r="E21" s="4" t="n">
        <f aca="false">'Ressources humaines'!$C$8</f>
        <v>0</v>
      </c>
      <c r="F21" s="4" t="n">
        <f aca="false">'Ressources humaines'!$C$9</f>
        <v>0</v>
      </c>
      <c r="G21" s="4" t="n">
        <f aca="false">'Ressources humaines'!$C$10</f>
        <v>0</v>
      </c>
      <c r="H21" s="4" t="n">
        <f aca="false">'Ressources humaines'!$C$6</f>
        <v>8</v>
      </c>
      <c r="I21" s="6" t="n">
        <f aca="false">'Ressources humaines'!$G$5</f>
        <v>0</v>
      </c>
      <c r="J21" s="6" t="n">
        <f aca="false">'Ressources humaines'!$G$6</f>
        <v>0</v>
      </c>
      <c r="K21" s="4" t="n">
        <f aca="false">'Ressources humaines'!$G$7</f>
        <v>0</v>
      </c>
      <c r="L21" s="4" t="n">
        <f aca="false">COUNTIF('Ressources humaines'!$N$13:$N$20,"OK")</f>
        <v>7</v>
      </c>
      <c r="M21" s="4" t="n">
        <f aca="false">COUNTIF('Ressources humaines'!$N$13:$N$20,"OK PARTIEL")</f>
        <v>1</v>
      </c>
      <c r="N21" s="4" t="n">
        <f aca="false">COUNTIF('Ressources humaines'!$N$13:$N$20,"KO")</f>
        <v>0</v>
      </c>
      <c r="O21" s="4" t="n">
        <f aca="false">COUNTIF('Ressources humaines'!$N$13:$N$20,"NON EXÉCUTÉ")</f>
        <v>0</v>
      </c>
    </row>
    <row r="22" customFormat="false" ht="15" hidden="false" customHeight="false" outlineLevel="0" collapsed="false">
      <c r="A22" s="7" t="s">
        <v>50</v>
      </c>
      <c r="B22" s="8" t="s">
        <v>50</v>
      </c>
      <c r="C22" s="7" t="n">
        <f aca="false">'Avis clients'!$C$5</f>
        <v>1</v>
      </c>
      <c r="D22" s="7" t="n">
        <f aca="false">'Avis clients'!$C$7</f>
        <v>0</v>
      </c>
      <c r="E22" s="7" t="n">
        <f aca="false">'Avis clients'!$C$8</f>
        <v>0</v>
      </c>
      <c r="F22" s="7" t="n">
        <f aca="false">'Avis clients'!$C$9</f>
        <v>0</v>
      </c>
      <c r="G22" s="7" t="n">
        <f aca="false">'Avis clients'!$C$10</f>
        <v>0</v>
      </c>
      <c r="H22" s="7" t="n">
        <f aca="false">'Avis clients'!$C$6</f>
        <v>1</v>
      </c>
      <c r="I22" s="9" t="n">
        <f aca="false">'Avis clients'!$G$5</f>
        <v>0</v>
      </c>
      <c r="J22" s="9" t="n">
        <f aca="false">'Avis clients'!$G$6</f>
        <v>0</v>
      </c>
      <c r="K22" s="7" t="n">
        <f aca="false">'Avis clients'!$G$7</f>
        <v>0</v>
      </c>
      <c r="L22" s="7" t="n">
        <f aca="false">COUNTIF('Avis clients'!$N$13:$N$13,"OK")</f>
        <v>1</v>
      </c>
      <c r="M22" s="7" t="n">
        <f aca="false">COUNTIF('Avis clients'!$N$13:$N$13,"OK PARTIEL")</f>
        <v>0</v>
      </c>
      <c r="N22" s="7" t="n">
        <f aca="false">COUNTIF('Avis clients'!$N$13:$N$13,"KO")</f>
        <v>0</v>
      </c>
      <c r="O22" s="7" t="n">
        <f aca="false">COUNTIF('Avis clients'!$N$13:$N$13,"NON EXÉCUTÉ")</f>
        <v>0</v>
      </c>
    </row>
    <row r="23" customFormat="false" ht="15" hidden="false" customHeight="false" outlineLevel="0" collapsed="false">
      <c r="A23" s="4" t="s">
        <v>51</v>
      </c>
      <c r="B23" s="5" t="s">
        <v>52</v>
      </c>
      <c r="C23" s="4" t="n">
        <f aca="false">'Gestion client'!$C$5</f>
        <v>2</v>
      </c>
      <c r="D23" s="4" t="n">
        <f aca="false">'Gestion client'!$C$7</f>
        <v>0</v>
      </c>
      <c r="E23" s="4" t="n">
        <f aca="false">'Gestion client'!$C$8</f>
        <v>0</v>
      </c>
      <c r="F23" s="4" t="n">
        <f aca="false">'Gestion client'!$C$9</f>
        <v>0</v>
      </c>
      <c r="G23" s="4" t="n">
        <f aca="false">'Gestion client'!$C$10</f>
        <v>0</v>
      </c>
      <c r="H23" s="4" t="n">
        <f aca="false">'Gestion client'!$C$6</f>
        <v>2</v>
      </c>
      <c r="I23" s="6" t="n">
        <f aca="false">'Gestion client'!$G$5</f>
        <v>0</v>
      </c>
      <c r="J23" s="6" t="n">
        <f aca="false">'Gestion client'!$G$6</f>
        <v>0</v>
      </c>
      <c r="K23" s="4" t="n">
        <f aca="false">'Gestion client'!$G$7</f>
        <v>0</v>
      </c>
      <c r="L23" s="4" t="n">
        <f aca="false">COUNTIF('Gestion client'!$N$13:$N$14,"OK")</f>
        <v>1</v>
      </c>
      <c r="M23" s="4" t="n">
        <f aca="false">COUNTIF('Gestion client'!$N$13:$N$14,"OK PARTIEL")</f>
        <v>1</v>
      </c>
      <c r="N23" s="4" t="n">
        <f aca="false">COUNTIF('Gestion client'!$N$13:$N$14,"KO")</f>
        <v>0</v>
      </c>
      <c r="O23" s="4" t="n">
        <f aca="false">COUNTIF('Gestion client'!$N$13:$N$14,"NON EXÉCUTÉ")</f>
        <v>0</v>
      </c>
    </row>
    <row r="24" customFormat="false" ht="15" hidden="false" customHeight="false" outlineLevel="0" collapsed="false">
      <c r="A24" s="7" t="s">
        <v>53</v>
      </c>
      <c r="B24" s="8" t="s">
        <v>54</v>
      </c>
      <c r="C24" s="7" t="n">
        <f aca="false">'Centre de support'!$C$5</f>
        <v>12</v>
      </c>
      <c r="D24" s="7" t="n">
        <f aca="false">'Centre de support'!$C$7</f>
        <v>0</v>
      </c>
      <c r="E24" s="7" t="n">
        <f aca="false">'Centre de support'!$C$8</f>
        <v>0</v>
      </c>
      <c r="F24" s="7" t="n">
        <f aca="false">'Centre de support'!$C$9</f>
        <v>0</v>
      </c>
      <c r="G24" s="7" t="n">
        <f aca="false">'Centre de support'!$C$10</f>
        <v>0</v>
      </c>
      <c r="H24" s="7" t="n">
        <f aca="false">'Centre de support'!$C$6</f>
        <v>12</v>
      </c>
      <c r="I24" s="9" t="n">
        <f aca="false">'Centre de support'!$G$5</f>
        <v>0</v>
      </c>
      <c r="J24" s="9" t="n">
        <f aca="false">'Centre de support'!$G$6</f>
        <v>0</v>
      </c>
      <c r="K24" s="7" t="n">
        <f aca="false">'Centre de support'!$G$7</f>
        <v>0</v>
      </c>
      <c r="L24" s="7" t="n">
        <f aca="false">COUNTIF('Centre de support'!$N$13:$N$24,"OK")</f>
        <v>10</v>
      </c>
      <c r="M24" s="7" t="n">
        <f aca="false">COUNTIF('Centre de support'!$N$13:$N$24,"OK PARTIEL")</f>
        <v>1</v>
      </c>
      <c r="N24" s="7" t="n">
        <f aca="false">COUNTIF('Centre de support'!$N$13:$N$24,"KO")</f>
        <v>0</v>
      </c>
      <c r="O24" s="7" t="n">
        <f aca="false">COUNTIF('Centre de support'!$N$13:$N$24,"NON EXÉCUTÉ")</f>
        <v>1</v>
      </c>
    </row>
    <row r="25" customFormat="false" ht="15" hidden="false" customHeight="false" outlineLevel="0" collapsed="false">
      <c r="A25" s="10" t="s">
        <v>55</v>
      </c>
      <c r="B25" s="10"/>
      <c r="C25" s="10" t="n">
        <f aca="false">SUM(C5:C24)</f>
        <v>338</v>
      </c>
      <c r="D25" s="10" t="n">
        <f aca="false">SUM(D5:D24)</f>
        <v>0</v>
      </c>
      <c r="E25" s="10" t="n">
        <f aca="false">SUM(E5:E24)</f>
        <v>0</v>
      </c>
      <c r="F25" s="10" t="n">
        <f aca="false">SUM(F5:F24)</f>
        <v>0</v>
      </c>
      <c r="G25" s="10" t="n">
        <f aca="false">SUM(G5:G24)</f>
        <v>0</v>
      </c>
      <c r="H25" s="10" t="n">
        <f aca="false">SUM(H5:H24)</f>
        <v>338</v>
      </c>
      <c r="I25" s="11" t="n">
        <f aca="false">IF((C25-G25)=0,0,(D25+E25+F25)/(C25-G25))</f>
        <v>0</v>
      </c>
      <c r="J25" s="11" t="n">
        <f aca="false">IF((D25+E25+F25)=0,0,D25/(D25+E25+F25))</f>
        <v>0</v>
      </c>
      <c r="K25" s="10" t="n">
        <f aca="false">SUM(K5:K24)</f>
        <v>0</v>
      </c>
      <c r="L25" s="10" t="n">
        <f aca="false">SUM(L5:L24)</f>
        <v>276</v>
      </c>
      <c r="M25" s="10" t="n">
        <f aca="false">SUM(M5:M24)</f>
        <v>22</v>
      </c>
      <c r="N25" s="10" t="n">
        <f aca="false">SUM(N5:N24)</f>
        <v>0</v>
      </c>
      <c r="O25" s="10" t="n">
        <f aca="false">SUM(O5:O24)</f>
        <v>40</v>
      </c>
    </row>
  </sheetData>
  <hyperlinks>
    <hyperlink ref="B5" r:id="rId1" location="'Transversal'!$A$1" display="Transversal"/>
    <hyperlink ref="B6" r:id="rId2" location="'Service%20client'!$A$1" display="Service client"/>
    <hyperlink ref="B7" r:id="rId3" location="'Gestion%20courante'!$A$1" display="Gestion courante"/>
    <hyperlink ref="B8" r:id="rId4" location="'Facturation'!$A$1" display="Facturation"/>
    <hyperlink ref="B9" r:id="rId5" location="'Gestion%20des%20promotions'!$A$1" display="Gestion des promotions"/>
    <hyperlink ref="B10" r:id="rId6" location="'Gestion%20des%20tiers-payants'!$A$1" display="Gestion des tiers-payants"/>
    <hyperlink ref="B11" r:id="rId7" location="'Menu%20pharmacien'!$A$1" display="Menu pharmacien"/>
    <hyperlink ref="B12" r:id="rId8" location="'Gestion%20des%20commandes'!$A$1" display="Gestion des commandes"/>
    <hyperlink ref="B13" r:id="rId9" location="'Gestion%20du%20stock'!$A$1" display="Gestion du stock"/>
    <hyperlink ref="B14" r:id="rId10" location="'Parametrages'!$A$1" display="Parametrages"/>
    <hyperlink ref="B15" r:id="rId11" location="'Retrocession'!$A$1" display="Retrocession"/>
    <hyperlink ref="B16" r:id="rId12" location="'Analyse%20de%20gestion'!$A$1" display="Analyse de gestion"/>
    <hyperlink ref="B17" r:id="rId13" location="'Notifications'!$A$1" display="Notifications"/>
    <hyperlink ref="B18" r:id="rId14" location="'Gestion%20des%20utilisateurs'!$A$1" display="Gestion des utilisateurs"/>
    <hyperlink ref="B19" r:id="rId15" location="'Configuration'!$A$1" display="Configuration"/>
    <hyperlink ref="B20" r:id="rId16" location="'Campagnes%20SMS%20-%20WhatsApp'!$A$1" display="Campagnes SMS - WhatsApp"/>
    <hyperlink ref="B21" r:id="rId17" location="'Ressources%20humaines'!$A$1" display="Ressources humaines"/>
    <hyperlink ref="B22" r:id="rId18" location="'Avis%20clients'!$A$1" display="Avis clients"/>
    <hyperlink ref="B23" r:id="rId19" location="'Gestion%20client'!$A$1" display="Gestion client"/>
    <hyperlink ref="B24" r:id="rId20" location="'Centre%20de%20support'!$A$1" display="Centre de support"/>
  </hyperlink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56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COUNTA($A$13:$A$29)</f>
        <v>17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C5-COUNTIF($K$13:$K$29,"OK")-COUNTIF($K$13:$K$29,"KO")-COUNTIF($K$13:$K$29,"Bloqué")-COUNTIF($K$13:$K$29,"N/A")</f>
        <v>17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COUNTIF($K$13:$K$29,"OK")</f>
        <v>0</v>
      </c>
      <c r="D7" s="18" t="n">
        <f aca="false">IF($C$5=0,0,C7/$C$5)</f>
        <v>0</v>
      </c>
      <c r="E7" s="16" t="s">
        <v>66</v>
      </c>
      <c r="G7" s="17" t="n">
        <f aca="false">COUNTIFS($K$13:$K$29,"KO",$H$13:$H$29,"Haute")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COUNTIF($K$13:$K$29,"KO")</f>
        <v>0</v>
      </c>
      <c r="D8" s="18" t="n">
        <f aca="false">IF($C$5=0,0,C8/$C$5)</f>
        <v>0</v>
      </c>
      <c r="E8" s="16" t="s">
        <v>68</v>
      </c>
      <c r="G8" s="17" t="str">
        <f aca="false">COUNTIF(N13:N29,"OK")&amp;" / "&amp;COUNTIF(N13:N29,"OK PARTIEL")&amp;" / "&amp;COUNTIF(N13:N29,"KO")&amp;" / "&amp;COUNTIF(N13:N29,"NON EXÉCUTÉ")</f>
        <v>11 / 6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COUNTIF($K$13:$K$29,"Bloqué")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COUNTIF($K$13:$K$29,"N/A")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32.8" hidden="false" customHeight="false" outlineLevel="0" collapsed="false">
      <c r="A13" s="20" t="n">
        <v>1</v>
      </c>
      <c r="B13" s="20" t="s">
        <v>86</v>
      </c>
      <c r="C13" s="20" t="s">
        <v>87</v>
      </c>
      <c r="D13" s="20" t="s">
        <v>88</v>
      </c>
      <c r="E13" s="20" t="s">
        <v>89</v>
      </c>
      <c r="F13" s="20" t="s">
        <v>90</v>
      </c>
      <c r="G13" s="20" t="s">
        <v>91</v>
      </c>
      <c r="H13" s="20" t="s">
        <v>92</v>
      </c>
      <c r="I13" s="21"/>
      <c r="J13" s="22"/>
      <c r="K13" s="21"/>
      <c r="L13" s="21"/>
      <c r="M13" s="21"/>
      <c r="N13" s="23" t="s">
        <v>5</v>
      </c>
      <c r="O13" s="24" t="s">
        <v>93</v>
      </c>
    </row>
    <row r="14" customFormat="false" ht="32.8" hidden="false" customHeight="false" outlineLevel="0" collapsed="false">
      <c r="A14" s="25" t="n">
        <v>2</v>
      </c>
      <c r="B14" s="25" t="s">
        <v>86</v>
      </c>
      <c r="C14" s="25" t="s">
        <v>94</v>
      </c>
      <c r="D14" s="25" t="s">
        <v>95</v>
      </c>
      <c r="E14" s="25" t="s">
        <v>96</v>
      </c>
      <c r="F14" s="25" t="s">
        <v>97</v>
      </c>
      <c r="G14" s="25" t="s">
        <v>98</v>
      </c>
      <c r="H14" s="25" t="s">
        <v>92</v>
      </c>
      <c r="I14" s="21"/>
      <c r="J14" s="22"/>
      <c r="K14" s="21"/>
      <c r="L14" s="21"/>
      <c r="M14" s="21"/>
      <c r="N14" s="23" t="s">
        <v>5</v>
      </c>
      <c r="O14" s="24" t="s">
        <v>99</v>
      </c>
    </row>
    <row r="15" customFormat="false" ht="32.8" hidden="false" customHeight="false" outlineLevel="0" collapsed="false">
      <c r="A15" s="20" t="n">
        <v>3</v>
      </c>
      <c r="B15" s="20" t="s">
        <v>86</v>
      </c>
      <c r="C15" s="20" t="s">
        <v>87</v>
      </c>
      <c r="D15" s="20" t="s">
        <v>100</v>
      </c>
      <c r="E15" s="20" t="s">
        <v>101</v>
      </c>
      <c r="F15" s="20" t="s">
        <v>102</v>
      </c>
      <c r="G15" s="20" t="s">
        <v>103</v>
      </c>
      <c r="H15" s="20" t="s">
        <v>92</v>
      </c>
      <c r="I15" s="21"/>
      <c r="J15" s="22"/>
      <c r="K15" s="21"/>
      <c r="L15" s="21"/>
      <c r="M15" s="21"/>
      <c r="N15" s="23" t="s">
        <v>5</v>
      </c>
      <c r="O15" s="24" t="s">
        <v>104</v>
      </c>
    </row>
    <row r="16" customFormat="false" ht="22.35" hidden="false" customHeight="false" outlineLevel="0" collapsed="false">
      <c r="A16" s="25" t="n">
        <v>4</v>
      </c>
      <c r="B16" s="25" t="s">
        <v>86</v>
      </c>
      <c r="C16" s="25" t="s">
        <v>87</v>
      </c>
      <c r="D16" s="25" t="s">
        <v>105</v>
      </c>
      <c r="E16" s="25" t="s">
        <v>106</v>
      </c>
      <c r="F16" s="25" t="s">
        <v>107</v>
      </c>
      <c r="G16" s="25" t="s">
        <v>108</v>
      </c>
      <c r="H16" s="25" t="s">
        <v>109</v>
      </c>
      <c r="I16" s="21"/>
      <c r="J16" s="22"/>
      <c r="K16" s="21"/>
      <c r="L16" s="21"/>
      <c r="M16" s="21"/>
      <c r="N16" s="23" t="s">
        <v>5</v>
      </c>
      <c r="O16" s="24" t="s">
        <v>104</v>
      </c>
    </row>
    <row r="17" customFormat="false" ht="32.8" hidden="false" customHeight="false" outlineLevel="0" collapsed="false">
      <c r="A17" s="20" t="n">
        <v>5</v>
      </c>
      <c r="B17" s="20" t="s">
        <v>86</v>
      </c>
      <c r="C17" s="20" t="s">
        <v>87</v>
      </c>
      <c r="D17" s="20" t="s">
        <v>110</v>
      </c>
      <c r="E17" s="20" t="s">
        <v>111</v>
      </c>
      <c r="F17" s="20" t="s">
        <v>112</v>
      </c>
      <c r="G17" s="20" t="s">
        <v>113</v>
      </c>
      <c r="H17" s="20" t="s">
        <v>109</v>
      </c>
      <c r="I17" s="21"/>
      <c r="J17" s="22"/>
      <c r="K17" s="21"/>
      <c r="L17" s="21"/>
      <c r="M17" s="21"/>
      <c r="N17" s="23" t="s">
        <v>114</v>
      </c>
      <c r="O17" s="24" t="s">
        <v>115</v>
      </c>
    </row>
    <row r="18" customFormat="false" ht="32.8" hidden="false" customHeight="false" outlineLevel="0" collapsed="false">
      <c r="A18" s="25" t="n">
        <v>6</v>
      </c>
      <c r="B18" s="25" t="s">
        <v>86</v>
      </c>
      <c r="C18" s="25" t="s">
        <v>116</v>
      </c>
      <c r="D18" s="25" t="s">
        <v>117</v>
      </c>
      <c r="E18" s="25" t="s">
        <v>118</v>
      </c>
      <c r="F18" s="25" t="s">
        <v>119</v>
      </c>
      <c r="G18" s="25" t="s">
        <v>120</v>
      </c>
      <c r="H18" s="25" t="s">
        <v>109</v>
      </c>
      <c r="I18" s="21"/>
      <c r="J18" s="22"/>
      <c r="K18" s="21"/>
      <c r="L18" s="21"/>
      <c r="M18" s="21"/>
      <c r="N18" s="23" t="s">
        <v>5</v>
      </c>
      <c r="O18" s="24" t="s">
        <v>121</v>
      </c>
    </row>
    <row r="19" customFormat="false" ht="22.35" hidden="false" customHeight="false" outlineLevel="0" collapsed="false">
      <c r="A19" s="20" t="n">
        <v>7</v>
      </c>
      <c r="B19" s="20" t="s">
        <v>86</v>
      </c>
      <c r="C19" s="20" t="s">
        <v>94</v>
      </c>
      <c r="D19" s="20" t="s">
        <v>122</v>
      </c>
      <c r="E19" s="20" t="s">
        <v>123</v>
      </c>
      <c r="F19" s="20" t="s">
        <v>124</v>
      </c>
      <c r="G19" s="20" t="s">
        <v>125</v>
      </c>
      <c r="H19" s="20" t="s">
        <v>92</v>
      </c>
      <c r="I19" s="21"/>
      <c r="J19" s="22"/>
      <c r="K19" s="21"/>
      <c r="L19" s="21"/>
      <c r="M19" s="21"/>
      <c r="N19" s="23" t="s">
        <v>5</v>
      </c>
      <c r="O19" s="24" t="s">
        <v>126</v>
      </c>
    </row>
    <row r="20" customFormat="false" ht="22.35" hidden="false" customHeight="false" outlineLevel="0" collapsed="false">
      <c r="A20" s="25" t="n">
        <v>8</v>
      </c>
      <c r="B20" s="25" t="s">
        <v>86</v>
      </c>
      <c r="C20" s="25" t="s">
        <v>94</v>
      </c>
      <c r="D20" s="25" t="s">
        <v>127</v>
      </c>
      <c r="E20" s="25" t="s">
        <v>128</v>
      </c>
      <c r="F20" s="25" t="s">
        <v>119</v>
      </c>
      <c r="G20" s="25" t="s">
        <v>129</v>
      </c>
      <c r="H20" s="25" t="s">
        <v>92</v>
      </c>
      <c r="I20" s="21"/>
      <c r="J20" s="22"/>
      <c r="K20" s="21"/>
      <c r="L20" s="21"/>
      <c r="M20" s="21"/>
      <c r="N20" s="23" t="s">
        <v>5</v>
      </c>
      <c r="O20" s="24" t="s">
        <v>104</v>
      </c>
    </row>
    <row r="21" customFormat="false" ht="22.35" hidden="false" customHeight="false" outlineLevel="0" collapsed="false">
      <c r="A21" s="20" t="n">
        <v>9</v>
      </c>
      <c r="B21" s="20" t="s">
        <v>86</v>
      </c>
      <c r="C21" s="20" t="s">
        <v>94</v>
      </c>
      <c r="D21" s="20" t="s">
        <v>130</v>
      </c>
      <c r="E21" s="20" t="s">
        <v>131</v>
      </c>
      <c r="F21" s="20" t="s">
        <v>119</v>
      </c>
      <c r="G21" s="20" t="s">
        <v>132</v>
      </c>
      <c r="H21" s="20" t="s">
        <v>109</v>
      </c>
      <c r="I21" s="21"/>
      <c r="J21" s="22"/>
      <c r="K21" s="21"/>
      <c r="L21" s="21"/>
      <c r="M21" s="21"/>
      <c r="N21" s="23" t="s">
        <v>5</v>
      </c>
      <c r="O21" s="24" t="s">
        <v>133</v>
      </c>
    </row>
    <row r="22" customFormat="false" ht="32.8" hidden="false" customHeight="false" outlineLevel="0" collapsed="false">
      <c r="A22" s="25" t="n">
        <v>10</v>
      </c>
      <c r="B22" s="25" t="s">
        <v>134</v>
      </c>
      <c r="C22" s="25" t="s">
        <v>94</v>
      </c>
      <c r="D22" s="25" t="s">
        <v>135</v>
      </c>
      <c r="E22" s="25" t="s">
        <v>136</v>
      </c>
      <c r="F22" s="25" t="s">
        <v>137</v>
      </c>
      <c r="G22" s="25" t="s">
        <v>138</v>
      </c>
      <c r="H22" s="25" t="s">
        <v>92</v>
      </c>
      <c r="I22" s="21"/>
      <c r="J22" s="22"/>
      <c r="K22" s="21"/>
      <c r="L22" s="21"/>
      <c r="M22" s="21"/>
      <c r="N22" s="23" t="s">
        <v>114</v>
      </c>
      <c r="O22" s="24" t="s">
        <v>139</v>
      </c>
    </row>
    <row r="23" customFormat="false" ht="32.8" hidden="false" customHeight="false" outlineLevel="0" collapsed="false">
      <c r="A23" s="20" t="n">
        <v>11</v>
      </c>
      <c r="B23" s="20" t="s">
        <v>140</v>
      </c>
      <c r="C23" s="20" t="s">
        <v>94</v>
      </c>
      <c r="D23" s="20" t="s">
        <v>141</v>
      </c>
      <c r="E23" s="20" t="s">
        <v>142</v>
      </c>
      <c r="F23" s="20" t="s">
        <v>143</v>
      </c>
      <c r="G23" s="20" t="s">
        <v>144</v>
      </c>
      <c r="H23" s="20" t="s">
        <v>92</v>
      </c>
      <c r="I23" s="21"/>
      <c r="J23" s="22"/>
      <c r="K23" s="21"/>
      <c r="L23" s="21"/>
      <c r="M23" s="21"/>
      <c r="N23" s="23" t="s">
        <v>114</v>
      </c>
      <c r="O23" s="24" t="s">
        <v>145</v>
      </c>
    </row>
    <row r="24" customFormat="false" ht="53.7" hidden="false" customHeight="false" outlineLevel="0" collapsed="false">
      <c r="A24" s="25" t="n">
        <v>12</v>
      </c>
      <c r="B24" s="25" t="s">
        <v>146</v>
      </c>
      <c r="C24" s="25" t="s">
        <v>94</v>
      </c>
      <c r="D24" s="25" t="s">
        <v>147</v>
      </c>
      <c r="E24" s="25" t="s">
        <v>148</v>
      </c>
      <c r="F24" s="25" t="s">
        <v>149</v>
      </c>
      <c r="G24" s="25" t="s">
        <v>150</v>
      </c>
      <c r="H24" s="25" t="s">
        <v>92</v>
      </c>
      <c r="I24" s="21"/>
      <c r="J24" s="22"/>
      <c r="K24" s="21"/>
      <c r="L24" s="21"/>
      <c r="M24" s="21"/>
      <c r="N24" s="23" t="s">
        <v>114</v>
      </c>
      <c r="O24" s="24" t="s">
        <v>151</v>
      </c>
    </row>
    <row r="25" customFormat="false" ht="32.8" hidden="false" customHeight="false" outlineLevel="0" collapsed="false">
      <c r="A25" s="20" t="n">
        <v>13</v>
      </c>
      <c r="B25" s="20" t="s">
        <v>152</v>
      </c>
      <c r="C25" s="20" t="s">
        <v>116</v>
      </c>
      <c r="D25" s="20" t="s">
        <v>153</v>
      </c>
      <c r="E25" s="20" t="s">
        <v>154</v>
      </c>
      <c r="F25" s="20" t="s">
        <v>155</v>
      </c>
      <c r="G25" s="20" t="s">
        <v>156</v>
      </c>
      <c r="H25" s="20" t="s">
        <v>92</v>
      </c>
      <c r="I25" s="21"/>
      <c r="J25" s="22"/>
      <c r="K25" s="21"/>
      <c r="L25" s="21"/>
      <c r="M25" s="21"/>
      <c r="N25" s="23" t="s">
        <v>5</v>
      </c>
      <c r="O25" s="24" t="s">
        <v>157</v>
      </c>
    </row>
    <row r="26" customFormat="false" ht="22.35" hidden="false" customHeight="false" outlineLevel="0" collapsed="false">
      <c r="A26" s="25" t="n">
        <v>14</v>
      </c>
      <c r="B26" s="25" t="s">
        <v>158</v>
      </c>
      <c r="C26" s="25" t="s">
        <v>116</v>
      </c>
      <c r="D26" s="25" t="s">
        <v>159</v>
      </c>
      <c r="E26" s="25" t="s">
        <v>160</v>
      </c>
      <c r="F26" s="25" t="s">
        <v>161</v>
      </c>
      <c r="G26" s="25" t="s">
        <v>162</v>
      </c>
      <c r="H26" s="25" t="s">
        <v>109</v>
      </c>
      <c r="I26" s="21"/>
      <c r="J26" s="22"/>
      <c r="K26" s="21"/>
      <c r="L26" s="21"/>
      <c r="M26" s="21"/>
      <c r="N26" s="23" t="s">
        <v>5</v>
      </c>
      <c r="O26" s="24" t="s">
        <v>163</v>
      </c>
    </row>
    <row r="27" customFormat="false" ht="32.8" hidden="false" customHeight="false" outlineLevel="0" collapsed="false">
      <c r="A27" s="20" t="n">
        <v>15</v>
      </c>
      <c r="B27" s="20" t="s">
        <v>164</v>
      </c>
      <c r="C27" s="20" t="s">
        <v>116</v>
      </c>
      <c r="D27" s="20" t="s">
        <v>165</v>
      </c>
      <c r="E27" s="20" t="s">
        <v>166</v>
      </c>
      <c r="F27" s="20" t="s">
        <v>167</v>
      </c>
      <c r="G27" s="20" t="s">
        <v>168</v>
      </c>
      <c r="H27" s="20" t="s">
        <v>109</v>
      </c>
      <c r="I27" s="21"/>
      <c r="J27" s="22"/>
      <c r="K27" s="21"/>
      <c r="L27" s="21"/>
      <c r="M27" s="21"/>
      <c r="N27" s="23" t="s">
        <v>114</v>
      </c>
      <c r="O27" s="24" t="s">
        <v>169</v>
      </c>
    </row>
    <row r="28" customFormat="false" ht="22.35" hidden="false" customHeight="false" outlineLevel="0" collapsed="false">
      <c r="A28" s="25" t="n">
        <v>16</v>
      </c>
      <c r="B28" s="25" t="s">
        <v>54</v>
      </c>
      <c r="C28" s="25" t="s">
        <v>87</v>
      </c>
      <c r="D28" s="25" t="s">
        <v>170</v>
      </c>
      <c r="E28" s="25" t="s">
        <v>171</v>
      </c>
      <c r="F28" s="25" t="s">
        <v>172</v>
      </c>
      <c r="G28" s="25" t="s">
        <v>173</v>
      </c>
      <c r="H28" s="25" t="s">
        <v>92</v>
      </c>
      <c r="I28" s="21"/>
      <c r="J28" s="22"/>
      <c r="K28" s="21"/>
      <c r="L28" s="21"/>
      <c r="M28" s="21"/>
      <c r="N28" s="23" t="s">
        <v>5</v>
      </c>
      <c r="O28" s="24" t="s">
        <v>174</v>
      </c>
    </row>
    <row r="29" customFormat="false" ht="43.25" hidden="false" customHeight="false" outlineLevel="0" collapsed="false">
      <c r="A29" s="20" t="n">
        <v>17</v>
      </c>
      <c r="B29" s="20" t="s">
        <v>175</v>
      </c>
      <c r="C29" s="20" t="s">
        <v>175</v>
      </c>
      <c r="D29" s="20" t="s">
        <v>176</v>
      </c>
      <c r="E29" s="20" t="s">
        <v>177</v>
      </c>
      <c r="F29" s="20" t="s">
        <v>178</v>
      </c>
      <c r="G29" s="20" t="s">
        <v>179</v>
      </c>
      <c r="H29" s="20" t="s">
        <v>109</v>
      </c>
      <c r="I29" s="21"/>
      <c r="J29" s="22"/>
      <c r="K29" s="21"/>
      <c r="L29" s="21"/>
      <c r="M29" s="21"/>
      <c r="N29" s="23" t="s">
        <v>114</v>
      </c>
      <c r="O29" s="24" t="s">
        <v>180</v>
      </c>
    </row>
  </sheetData>
  <autoFilter ref="A12:O29"/>
  <mergeCells count="6">
    <mergeCell ref="A1:O1"/>
    <mergeCell ref="I5:O5"/>
    <mergeCell ref="I6:O6"/>
    <mergeCell ref="I7:O7"/>
    <mergeCell ref="I8:O8"/>
    <mergeCell ref="I9:O9"/>
  </mergeCells>
  <conditionalFormatting sqref="K13:K229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29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29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29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COUNTA($A$13:$A$56)</f>
        <v>44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C5-COUNTIF($K$13:$K$56,"OK")-COUNTIF($K$13:$K$56,"KO")-COUNTIF($K$13:$K$56,"Bloqué")-COUNTIF($K$13:$K$56,"N/A")</f>
        <v>44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COUNTIF($K$13:$K$56,"OK")</f>
        <v>0</v>
      </c>
      <c r="D7" s="18" t="n">
        <f aca="false">IF($C$5=0,0,C7/$C$5)</f>
        <v>0</v>
      </c>
      <c r="E7" s="16" t="s">
        <v>66</v>
      </c>
      <c r="G7" s="17" t="n">
        <f aca="false">COUNTIFS($K$13:$K$56,"KO",$H$13:$H$56,"Haute")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COUNTIF($K$13:$K$56,"KO")</f>
        <v>0</v>
      </c>
      <c r="D8" s="18" t="n">
        <f aca="false">IF($C$5=0,0,C8/$C$5)</f>
        <v>0</v>
      </c>
      <c r="E8" s="16" t="s">
        <v>68</v>
      </c>
      <c r="G8" s="17" t="str">
        <f aca="false">COUNTIF(N13:N56,"OK")&amp;" / "&amp;COUNTIF(N13:N56,"OK PARTIEL")&amp;" / "&amp;COUNTIF(N13:N56,"KO")&amp;" / "&amp;COUNTIF(N13:N56,"NON EXÉCUTÉ")</f>
        <v>34 / 3 / 0 / 7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COUNTIF($K$13:$K$56,"Bloqué")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COUNTIF($K$13:$K$56,"N/A")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182</v>
      </c>
      <c r="C13" s="20" t="s">
        <v>87</v>
      </c>
      <c r="D13" s="20" t="s">
        <v>183</v>
      </c>
      <c r="E13" s="20" t="s">
        <v>184</v>
      </c>
      <c r="F13" s="20" t="s">
        <v>185</v>
      </c>
      <c r="G13" s="20" t="s">
        <v>186</v>
      </c>
      <c r="H13" s="20" t="s">
        <v>92</v>
      </c>
      <c r="I13" s="21"/>
      <c r="J13" s="22"/>
      <c r="K13" s="21"/>
      <c r="L13" s="21"/>
      <c r="M13" s="21"/>
      <c r="N13" s="23" t="s">
        <v>187</v>
      </c>
      <c r="O13" s="24" t="s">
        <v>188</v>
      </c>
    </row>
    <row r="14" customFormat="false" ht="43.25" hidden="false" customHeight="false" outlineLevel="0" collapsed="false">
      <c r="A14" s="25" t="n">
        <v>2</v>
      </c>
      <c r="B14" s="25" t="s">
        <v>189</v>
      </c>
      <c r="C14" s="25" t="s">
        <v>87</v>
      </c>
      <c r="D14" s="25" t="s">
        <v>190</v>
      </c>
      <c r="E14" s="25" t="s">
        <v>191</v>
      </c>
      <c r="F14" s="25" t="s">
        <v>192</v>
      </c>
      <c r="G14" s="25" t="s">
        <v>193</v>
      </c>
      <c r="H14" s="25" t="s">
        <v>92</v>
      </c>
      <c r="I14" s="21"/>
      <c r="J14" s="22"/>
      <c r="K14" s="21"/>
      <c r="L14" s="21"/>
      <c r="M14" s="21"/>
      <c r="N14" s="23" t="s">
        <v>114</v>
      </c>
      <c r="O14" s="24" t="s">
        <v>194</v>
      </c>
    </row>
    <row r="15" customFormat="false" ht="53.7" hidden="false" customHeight="false" outlineLevel="0" collapsed="false">
      <c r="A15" s="20" t="n">
        <v>3</v>
      </c>
      <c r="B15" s="20" t="s">
        <v>189</v>
      </c>
      <c r="C15" s="20" t="s">
        <v>87</v>
      </c>
      <c r="D15" s="20" t="s">
        <v>195</v>
      </c>
      <c r="E15" s="20" t="s">
        <v>196</v>
      </c>
      <c r="F15" s="20" t="s">
        <v>197</v>
      </c>
      <c r="G15" s="20" t="s">
        <v>198</v>
      </c>
      <c r="H15" s="20" t="s">
        <v>92</v>
      </c>
      <c r="I15" s="21"/>
      <c r="J15" s="22"/>
      <c r="K15" s="21"/>
      <c r="L15" s="21"/>
      <c r="M15" s="21"/>
      <c r="N15" s="23" t="s">
        <v>114</v>
      </c>
      <c r="O15" s="24" t="s">
        <v>199</v>
      </c>
    </row>
    <row r="16" customFormat="false" ht="22.35" hidden="false" customHeight="false" outlineLevel="0" collapsed="false">
      <c r="A16" s="25" t="n">
        <v>4</v>
      </c>
      <c r="B16" s="25" t="s">
        <v>189</v>
      </c>
      <c r="C16" s="25" t="s">
        <v>87</v>
      </c>
      <c r="D16" s="25" t="s">
        <v>200</v>
      </c>
      <c r="E16" s="25" t="s">
        <v>201</v>
      </c>
      <c r="F16" s="25" t="s">
        <v>202</v>
      </c>
      <c r="G16" s="25" t="s">
        <v>203</v>
      </c>
      <c r="H16" s="25" t="s">
        <v>92</v>
      </c>
      <c r="I16" s="21"/>
      <c r="J16" s="22"/>
      <c r="K16" s="21"/>
      <c r="L16" s="21"/>
      <c r="M16" s="21"/>
      <c r="N16" s="23" t="s">
        <v>187</v>
      </c>
      <c r="O16" s="24" t="s">
        <v>204</v>
      </c>
    </row>
    <row r="17" customFormat="false" ht="22.35" hidden="false" customHeight="false" outlineLevel="0" collapsed="false">
      <c r="A17" s="20" t="n">
        <v>5</v>
      </c>
      <c r="B17" s="20" t="s">
        <v>189</v>
      </c>
      <c r="C17" s="20" t="s">
        <v>87</v>
      </c>
      <c r="D17" s="20" t="s">
        <v>205</v>
      </c>
      <c r="E17" s="20" t="s">
        <v>206</v>
      </c>
      <c r="F17" s="20" t="s">
        <v>207</v>
      </c>
      <c r="G17" s="20" t="s">
        <v>208</v>
      </c>
      <c r="H17" s="20" t="s">
        <v>109</v>
      </c>
      <c r="I17" s="21"/>
      <c r="J17" s="22"/>
      <c r="K17" s="21"/>
      <c r="L17" s="21"/>
      <c r="M17" s="21"/>
      <c r="N17" s="23" t="s">
        <v>5</v>
      </c>
      <c r="O17" s="24" t="s">
        <v>209</v>
      </c>
    </row>
    <row r="18" customFormat="false" ht="22.35" hidden="false" customHeight="false" outlineLevel="0" collapsed="false">
      <c r="A18" s="25" t="n">
        <v>6</v>
      </c>
      <c r="B18" s="25" t="s">
        <v>189</v>
      </c>
      <c r="C18" s="25" t="s">
        <v>116</v>
      </c>
      <c r="D18" s="25" t="s">
        <v>210</v>
      </c>
      <c r="E18" s="25" t="s">
        <v>211</v>
      </c>
      <c r="F18" s="25" t="s">
        <v>212</v>
      </c>
      <c r="G18" s="25" t="s">
        <v>213</v>
      </c>
      <c r="H18" s="25" t="s">
        <v>109</v>
      </c>
      <c r="I18" s="21"/>
      <c r="J18" s="22"/>
      <c r="K18" s="21"/>
      <c r="L18" s="21"/>
      <c r="M18" s="21"/>
      <c r="N18" s="23" t="s">
        <v>5</v>
      </c>
      <c r="O18" s="24" t="s">
        <v>214</v>
      </c>
    </row>
    <row r="19" customFormat="false" ht="15" hidden="false" customHeight="false" outlineLevel="0" collapsed="false">
      <c r="A19" s="20" t="n">
        <v>7</v>
      </c>
      <c r="B19" s="20" t="s">
        <v>189</v>
      </c>
      <c r="C19" s="20" t="s">
        <v>87</v>
      </c>
      <c r="D19" s="20" t="s">
        <v>215</v>
      </c>
      <c r="E19" s="20" t="s">
        <v>211</v>
      </c>
      <c r="F19" s="20" t="s">
        <v>216</v>
      </c>
      <c r="G19" s="20" t="s">
        <v>217</v>
      </c>
      <c r="H19" s="20" t="s">
        <v>218</v>
      </c>
      <c r="I19" s="21"/>
      <c r="J19" s="22"/>
      <c r="K19" s="21"/>
      <c r="L19" s="21"/>
      <c r="M19" s="21"/>
      <c r="N19" s="23" t="s">
        <v>5</v>
      </c>
      <c r="O19" s="24" t="s">
        <v>214</v>
      </c>
    </row>
    <row r="20" customFormat="false" ht="15" hidden="false" customHeight="false" outlineLevel="0" collapsed="false">
      <c r="A20" s="25" t="n">
        <v>8</v>
      </c>
      <c r="B20" s="25" t="s">
        <v>189</v>
      </c>
      <c r="C20" s="25" t="s">
        <v>87</v>
      </c>
      <c r="D20" s="25" t="s">
        <v>219</v>
      </c>
      <c r="E20" s="25" t="s">
        <v>220</v>
      </c>
      <c r="F20" s="25" t="s">
        <v>221</v>
      </c>
      <c r="G20" s="25" t="s">
        <v>222</v>
      </c>
      <c r="H20" s="25" t="s">
        <v>109</v>
      </c>
      <c r="I20" s="21"/>
      <c r="J20" s="22"/>
      <c r="K20" s="21"/>
      <c r="L20" s="21"/>
      <c r="M20" s="21"/>
      <c r="N20" s="23" t="s">
        <v>5</v>
      </c>
      <c r="O20" s="24" t="s">
        <v>223</v>
      </c>
    </row>
    <row r="21" customFormat="false" ht="22.35" hidden="false" customHeight="false" outlineLevel="0" collapsed="false">
      <c r="A21" s="20" t="n">
        <v>9</v>
      </c>
      <c r="B21" s="20" t="s">
        <v>189</v>
      </c>
      <c r="C21" s="20" t="s">
        <v>87</v>
      </c>
      <c r="D21" s="20" t="s">
        <v>224</v>
      </c>
      <c r="E21" s="20" t="s">
        <v>211</v>
      </c>
      <c r="F21" s="20" t="s">
        <v>225</v>
      </c>
      <c r="G21" s="20" t="s">
        <v>226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227</v>
      </c>
    </row>
    <row r="22" customFormat="false" ht="22.35" hidden="false" customHeight="false" outlineLevel="0" collapsed="false">
      <c r="A22" s="25" t="n">
        <v>10</v>
      </c>
      <c r="B22" s="25" t="s">
        <v>189</v>
      </c>
      <c r="C22" s="25" t="s">
        <v>87</v>
      </c>
      <c r="D22" s="25" t="s">
        <v>228</v>
      </c>
      <c r="E22" s="25" t="s">
        <v>229</v>
      </c>
      <c r="F22" s="25" t="s">
        <v>230</v>
      </c>
      <c r="G22" s="25" t="s">
        <v>231</v>
      </c>
      <c r="H22" s="25" t="s">
        <v>109</v>
      </c>
      <c r="I22" s="21"/>
      <c r="J22" s="22"/>
      <c r="K22" s="21"/>
      <c r="L22" s="21"/>
      <c r="M22" s="21"/>
      <c r="N22" s="23" t="s">
        <v>5</v>
      </c>
      <c r="O22" s="24" t="s">
        <v>232</v>
      </c>
    </row>
    <row r="23" customFormat="false" ht="22.35" hidden="false" customHeight="false" outlineLevel="0" collapsed="false">
      <c r="A23" s="20" t="n">
        <v>11</v>
      </c>
      <c r="B23" s="20" t="s">
        <v>189</v>
      </c>
      <c r="C23" s="20" t="s">
        <v>87</v>
      </c>
      <c r="D23" s="20" t="s">
        <v>233</v>
      </c>
      <c r="E23" s="20" t="s">
        <v>234</v>
      </c>
      <c r="F23" s="20" t="s">
        <v>235</v>
      </c>
      <c r="G23" s="20" t="s">
        <v>236</v>
      </c>
      <c r="H23" s="20" t="s">
        <v>109</v>
      </c>
      <c r="I23" s="21"/>
      <c r="J23" s="22"/>
      <c r="K23" s="21"/>
      <c r="L23" s="21"/>
      <c r="M23" s="21"/>
      <c r="N23" s="23" t="s">
        <v>5</v>
      </c>
      <c r="O23" s="24" t="s">
        <v>237</v>
      </c>
    </row>
    <row r="24" customFormat="false" ht="22.35" hidden="false" customHeight="false" outlineLevel="0" collapsed="false">
      <c r="A24" s="25" t="n">
        <v>12</v>
      </c>
      <c r="B24" s="25" t="s">
        <v>189</v>
      </c>
      <c r="C24" s="25" t="s">
        <v>87</v>
      </c>
      <c r="D24" s="25" t="s">
        <v>238</v>
      </c>
      <c r="E24" s="25" t="s">
        <v>239</v>
      </c>
      <c r="F24" s="25" t="s">
        <v>240</v>
      </c>
      <c r="G24" s="25" t="s">
        <v>241</v>
      </c>
      <c r="H24" s="25" t="s">
        <v>109</v>
      </c>
      <c r="I24" s="21"/>
      <c r="J24" s="22"/>
      <c r="K24" s="21"/>
      <c r="L24" s="21"/>
      <c r="M24" s="21"/>
      <c r="N24" s="23" t="s">
        <v>5</v>
      </c>
      <c r="O24" s="24" t="s">
        <v>242</v>
      </c>
    </row>
    <row r="25" customFormat="false" ht="32.8" hidden="false" customHeight="false" outlineLevel="0" collapsed="false">
      <c r="A25" s="20" t="n">
        <v>13</v>
      </c>
      <c r="B25" s="20" t="s">
        <v>189</v>
      </c>
      <c r="C25" s="20" t="s">
        <v>87</v>
      </c>
      <c r="D25" s="20" t="s">
        <v>243</v>
      </c>
      <c r="E25" s="20" t="s">
        <v>244</v>
      </c>
      <c r="F25" s="20" t="s">
        <v>245</v>
      </c>
      <c r="G25" s="20" t="s">
        <v>246</v>
      </c>
      <c r="H25" s="20" t="s">
        <v>218</v>
      </c>
      <c r="I25" s="21"/>
      <c r="J25" s="22"/>
      <c r="K25" s="21"/>
      <c r="L25" s="21"/>
      <c r="M25" s="21"/>
      <c r="N25" s="23" t="s">
        <v>5</v>
      </c>
      <c r="O25" s="24" t="s">
        <v>247</v>
      </c>
    </row>
    <row r="26" customFormat="false" ht="32.8" hidden="false" customHeight="false" outlineLevel="0" collapsed="false">
      <c r="A26" s="25" t="n">
        <v>14</v>
      </c>
      <c r="B26" s="25" t="s">
        <v>248</v>
      </c>
      <c r="C26" s="25" t="s">
        <v>87</v>
      </c>
      <c r="D26" s="25" t="s">
        <v>249</v>
      </c>
      <c r="E26" s="25" t="s">
        <v>250</v>
      </c>
      <c r="F26" s="25" t="s">
        <v>251</v>
      </c>
      <c r="G26" s="25" t="s">
        <v>252</v>
      </c>
      <c r="H26" s="25" t="s">
        <v>92</v>
      </c>
      <c r="I26" s="21"/>
      <c r="J26" s="22"/>
      <c r="K26" s="21"/>
      <c r="L26" s="21"/>
      <c r="M26" s="21"/>
      <c r="N26" s="23" t="s">
        <v>5</v>
      </c>
      <c r="O26" s="24" t="s">
        <v>253</v>
      </c>
    </row>
    <row r="27" customFormat="false" ht="22.35" hidden="false" customHeight="false" outlineLevel="0" collapsed="false">
      <c r="A27" s="20" t="n">
        <v>15</v>
      </c>
      <c r="B27" s="20" t="s">
        <v>254</v>
      </c>
      <c r="C27" s="20" t="s">
        <v>87</v>
      </c>
      <c r="D27" s="20" t="s">
        <v>255</v>
      </c>
      <c r="E27" s="20" t="s">
        <v>256</v>
      </c>
      <c r="F27" s="20" t="s">
        <v>257</v>
      </c>
      <c r="G27" s="20" t="s">
        <v>258</v>
      </c>
      <c r="H27" s="20" t="s">
        <v>109</v>
      </c>
      <c r="I27" s="21"/>
      <c r="J27" s="22"/>
      <c r="K27" s="21"/>
      <c r="L27" s="21"/>
      <c r="M27" s="21"/>
      <c r="N27" s="23" t="s">
        <v>5</v>
      </c>
      <c r="O27" s="24" t="s">
        <v>259</v>
      </c>
    </row>
    <row r="28" customFormat="false" ht="32.8" hidden="false" customHeight="false" outlineLevel="0" collapsed="false">
      <c r="A28" s="25" t="n">
        <v>16</v>
      </c>
      <c r="B28" s="25" t="s">
        <v>260</v>
      </c>
      <c r="C28" s="25" t="s">
        <v>87</v>
      </c>
      <c r="D28" s="25" t="s">
        <v>261</v>
      </c>
      <c r="E28" s="25" t="s">
        <v>262</v>
      </c>
      <c r="F28" s="25" t="s">
        <v>263</v>
      </c>
      <c r="G28" s="25" t="s">
        <v>264</v>
      </c>
      <c r="H28" s="25" t="s">
        <v>92</v>
      </c>
      <c r="I28" s="21"/>
      <c r="J28" s="22"/>
      <c r="K28" s="21"/>
      <c r="L28" s="21"/>
      <c r="M28" s="21"/>
      <c r="N28" s="23" t="s">
        <v>5</v>
      </c>
      <c r="O28" s="24" t="s">
        <v>265</v>
      </c>
    </row>
    <row r="29" customFormat="false" ht="22.35" hidden="false" customHeight="false" outlineLevel="0" collapsed="false">
      <c r="A29" s="20" t="n">
        <v>17</v>
      </c>
      <c r="B29" s="20" t="s">
        <v>260</v>
      </c>
      <c r="C29" s="20" t="s">
        <v>87</v>
      </c>
      <c r="D29" s="20" t="s">
        <v>266</v>
      </c>
      <c r="E29" s="20" t="s">
        <v>267</v>
      </c>
      <c r="F29" s="20" t="s">
        <v>268</v>
      </c>
      <c r="G29" s="20" t="s">
        <v>269</v>
      </c>
      <c r="H29" s="20" t="s">
        <v>218</v>
      </c>
      <c r="I29" s="21"/>
      <c r="J29" s="22"/>
      <c r="K29" s="21"/>
      <c r="L29" s="21"/>
      <c r="M29" s="21"/>
      <c r="N29" s="23" t="s">
        <v>187</v>
      </c>
      <c r="O29" s="24" t="s">
        <v>270</v>
      </c>
    </row>
    <row r="30" customFormat="false" ht="32.8" hidden="false" customHeight="false" outlineLevel="0" collapsed="false">
      <c r="A30" s="25" t="n">
        <v>18</v>
      </c>
      <c r="B30" s="25" t="s">
        <v>271</v>
      </c>
      <c r="C30" s="25" t="s">
        <v>87</v>
      </c>
      <c r="D30" s="25" t="s">
        <v>272</v>
      </c>
      <c r="E30" s="25" t="s">
        <v>273</v>
      </c>
      <c r="F30" s="25" t="s">
        <v>274</v>
      </c>
      <c r="G30" s="25" t="s">
        <v>275</v>
      </c>
      <c r="H30" s="25" t="s">
        <v>109</v>
      </c>
      <c r="I30" s="21"/>
      <c r="J30" s="22"/>
      <c r="K30" s="21"/>
      <c r="L30" s="21"/>
      <c r="M30" s="21"/>
      <c r="N30" s="23" t="s">
        <v>114</v>
      </c>
      <c r="O30" s="24" t="s">
        <v>276</v>
      </c>
    </row>
    <row r="31" customFormat="false" ht="22.35" hidden="false" customHeight="false" outlineLevel="0" collapsed="false">
      <c r="A31" s="20" t="n">
        <v>19</v>
      </c>
      <c r="B31" s="20" t="s">
        <v>277</v>
      </c>
      <c r="C31" s="20" t="s">
        <v>87</v>
      </c>
      <c r="D31" s="20" t="s">
        <v>278</v>
      </c>
      <c r="E31" s="20" t="s">
        <v>279</v>
      </c>
      <c r="F31" s="20" t="s">
        <v>280</v>
      </c>
      <c r="G31" s="20" t="s">
        <v>281</v>
      </c>
      <c r="H31" s="20" t="s">
        <v>92</v>
      </c>
      <c r="I31" s="21"/>
      <c r="J31" s="22"/>
      <c r="K31" s="21"/>
      <c r="L31" s="21"/>
      <c r="M31" s="21"/>
      <c r="N31" s="23" t="s">
        <v>187</v>
      </c>
      <c r="O31" s="24" t="s">
        <v>282</v>
      </c>
    </row>
    <row r="32" customFormat="false" ht="15" hidden="false" customHeight="false" outlineLevel="0" collapsed="false">
      <c r="A32" s="25" t="n">
        <v>20</v>
      </c>
      <c r="B32" s="25" t="s">
        <v>283</v>
      </c>
      <c r="C32" s="25" t="s">
        <v>87</v>
      </c>
      <c r="D32" s="25" t="s">
        <v>284</v>
      </c>
      <c r="E32" s="25" t="s">
        <v>285</v>
      </c>
      <c r="F32" s="25" t="s">
        <v>286</v>
      </c>
      <c r="G32" s="25" t="s">
        <v>287</v>
      </c>
      <c r="H32" s="25" t="s">
        <v>218</v>
      </c>
      <c r="I32" s="21"/>
      <c r="J32" s="22"/>
      <c r="K32" s="21"/>
      <c r="L32" s="21"/>
      <c r="M32" s="21"/>
      <c r="N32" s="23" t="s">
        <v>5</v>
      </c>
      <c r="O32" s="24" t="s">
        <v>288</v>
      </c>
    </row>
    <row r="33" customFormat="false" ht="22.35" hidden="false" customHeight="false" outlineLevel="0" collapsed="false">
      <c r="A33" s="20" t="n">
        <v>21</v>
      </c>
      <c r="B33" s="20" t="s">
        <v>289</v>
      </c>
      <c r="C33" s="20" t="s">
        <v>87</v>
      </c>
      <c r="D33" s="20" t="s">
        <v>290</v>
      </c>
      <c r="E33" s="20" t="s">
        <v>291</v>
      </c>
      <c r="F33" s="20" t="s">
        <v>292</v>
      </c>
      <c r="G33" s="20" t="s">
        <v>293</v>
      </c>
      <c r="H33" s="20" t="s">
        <v>109</v>
      </c>
      <c r="I33" s="21"/>
      <c r="J33" s="22"/>
      <c r="K33" s="21"/>
      <c r="L33" s="21"/>
      <c r="M33" s="21"/>
      <c r="N33" s="23" t="s">
        <v>5</v>
      </c>
      <c r="O33" s="24" t="s">
        <v>294</v>
      </c>
    </row>
    <row r="34" customFormat="false" ht="22.35" hidden="false" customHeight="false" outlineLevel="0" collapsed="false">
      <c r="A34" s="25" t="n">
        <v>22</v>
      </c>
      <c r="B34" s="25" t="s">
        <v>295</v>
      </c>
      <c r="C34" s="25" t="s">
        <v>87</v>
      </c>
      <c r="D34" s="25" t="s">
        <v>296</v>
      </c>
      <c r="E34" s="25" t="s">
        <v>297</v>
      </c>
      <c r="F34" s="25" t="s">
        <v>298</v>
      </c>
      <c r="G34" s="25" t="s">
        <v>299</v>
      </c>
      <c r="H34" s="25" t="s">
        <v>218</v>
      </c>
      <c r="I34" s="21"/>
      <c r="J34" s="22"/>
      <c r="K34" s="21"/>
      <c r="L34" s="21"/>
      <c r="M34" s="21"/>
      <c r="N34" s="23" t="s">
        <v>5</v>
      </c>
      <c r="O34" s="24" t="s">
        <v>300</v>
      </c>
    </row>
    <row r="35" customFormat="false" ht="32.8" hidden="false" customHeight="false" outlineLevel="0" collapsed="false">
      <c r="A35" s="20" t="n">
        <v>23</v>
      </c>
      <c r="B35" s="20" t="s">
        <v>301</v>
      </c>
      <c r="C35" s="20" t="s">
        <v>302</v>
      </c>
      <c r="D35" s="20" t="s">
        <v>303</v>
      </c>
      <c r="E35" s="20" t="s">
        <v>304</v>
      </c>
      <c r="F35" s="20" t="s">
        <v>305</v>
      </c>
      <c r="G35" s="20" t="s">
        <v>306</v>
      </c>
      <c r="H35" s="20" t="s">
        <v>109</v>
      </c>
      <c r="I35" s="21"/>
      <c r="J35" s="22"/>
      <c r="K35" s="21"/>
      <c r="L35" s="21"/>
      <c r="M35" s="21"/>
      <c r="N35" s="23" t="s">
        <v>5</v>
      </c>
      <c r="O35" s="24" t="s">
        <v>307</v>
      </c>
    </row>
    <row r="36" customFormat="false" ht="32.8" hidden="false" customHeight="false" outlineLevel="0" collapsed="false">
      <c r="A36" s="25" t="n">
        <v>24</v>
      </c>
      <c r="B36" s="25" t="s">
        <v>182</v>
      </c>
      <c r="C36" s="25" t="s">
        <v>302</v>
      </c>
      <c r="D36" s="25" t="s">
        <v>303</v>
      </c>
      <c r="E36" s="25" t="s">
        <v>304</v>
      </c>
      <c r="F36" s="25" t="s">
        <v>308</v>
      </c>
      <c r="G36" s="25" t="s">
        <v>306</v>
      </c>
      <c r="H36" s="25" t="s">
        <v>109</v>
      </c>
      <c r="I36" s="21"/>
      <c r="J36" s="22"/>
      <c r="K36" s="21"/>
      <c r="L36" s="21"/>
      <c r="M36" s="21"/>
      <c r="N36" s="23" t="s">
        <v>5</v>
      </c>
      <c r="O36" s="24" t="s">
        <v>307</v>
      </c>
    </row>
    <row r="37" customFormat="false" ht="32.8" hidden="false" customHeight="false" outlineLevel="0" collapsed="false">
      <c r="A37" s="20" t="n">
        <v>25</v>
      </c>
      <c r="B37" s="20" t="s">
        <v>309</v>
      </c>
      <c r="C37" s="20" t="s">
        <v>302</v>
      </c>
      <c r="D37" s="20" t="s">
        <v>303</v>
      </c>
      <c r="E37" s="20" t="s">
        <v>304</v>
      </c>
      <c r="F37" s="20" t="s">
        <v>310</v>
      </c>
      <c r="G37" s="20" t="s">
        <v>306</v>
      </c>
      <c r="H37" s="20" t="s">
        <v>109</v>
      </c>
      <c r="I37" s="21"/>
      <c r="J37" s="22"/>
      <c r="K37" s="21"/>
      <c r="L37" s="21"/>
      <c r="M37" s="21"/>
      <c r="N37" s="23" t="s">
        <v>5</v>
      </c>
      <c r="O37" s="24" t="s">
        <v>311</v>
      </c>
    </row>
    <row r="38" customFormat="false" ht="32.8" hidden="false" customHeight="false" outlineLevel="0" collapsed="false">
      <c r="A38" s="25" t="n">
        <v>26</v>
      </c>
      <c r="B38" s="25" t="s">
        <v>248</v>
      </c>
      <c r="C38" s="25" t="s">
        <v>302</v>
      </c>
      <c r="D38" s="25" t="s">
        <v>303</v>
      </c>
      <c r="E38" s="25" t="s">
        <v>304</v>
      </c>
      <c r="F38" s="25" t="s">
        <v>312</v>
      </c>
      <c r="G38" s="25" t="s">
        <v>306</v>
      </c>
      <c r="H38" s="25" t="s">
        <v>109</v>
      </c>
      <c r="I38" s="21"/>
      <c r="J38" s="22"/>
      <c r="K38" s="21"/>
      <c r="L38" s="21"/>
      <c r="M38" s="21"/>
      <c r="N38" s="23" t="s">
        <v>5</v>
      </c>
      <c r="O38" s="24" t="s">
        <v>307</v>
      </c>
    </row>
    <row r="39" customFormat="false" ht="32.8" hidden="false" customHeight="false" outlineLevel="0" collapsed="false">
      <c r="A39" s="20" t="n">
        <v>27</v>
      </c>
      <c r="B39" s="20" t="s">
        <v>189</v>
      </c>
      <c r="C39" s="20" t="s">
        <v>302</v>
      </c>
      <c r="D39" s="20" t="s">
        <v>303</v>
      </c>
      <c r="E39" s="20" t="s">
        <v>304</v>
      </c>
      <c r="F39" s="20" t="s">
        <v>313</v>
      </c>
      <c r="G39" s="20" t="s">
        <v>306</v>
      </c>
      <c r="H39" s="20" t="s">
        <v>109</v>
      </c>
      <c r="I39" s="21"/>
      <c r="J39" s="22"/>
      <c r="K39" s="21"/>
      <c r="L39" s="21"/>
      <c r="M39" s="21"/>
      <c r="N39" s="23" t="s">
        <v>5</v>
      </c>
      <c r="O39" s="24" t="s">
        <v>307</v>
      </c>
    </row>
    <row r="40" customFormat="false" ht="32.8" hidden="false" customHeight="false" outlineLevel="0" collapsed="false">
      <c r="A40" s="25" t="n">
        <v>28</v>
      </c>
      <c r="B40" s="25" t="s">
        <v>254</v>
      </c>
      <c r="C40" s="25" t="s">
        <v>302</v>
      </c>
      <c r="D40" s="25" t="s">
        <v>303</v>
      </c>
      <c r="E40" s="25" t="s">
        <v>304</v>
      </c>
      <c r="F40" s="25" t="s">
        <v>314</v>
      </c>
      <c r="G40" s="25" t="s">
        <v>306</v>
      </c>
      <c r="H40" s="25" t="s">
        <v>109</v>
      </c>
      <c r="I40" s="21"/>
      <c r="J40" s="22"/>
      <c r="K40" s="21"/>
      <c r="L40" s="21"/>
      <c r="M40" s="21"/>
      <c r="N40" s="23" t="s">
        <v>5</v>
      </c>
      <c r="O40" s="24" t="s">
        <v>307</v>
      </c>
    </row>
    <row r="41" customFormat="false" ht="32.8" hidden="false" customHeight="false" outlineLevel="0" collapsed="false">
      <c r="A41" s="20" t="n">
        <v>29</v>
      </c>
      <c r="B41" s="20" t="s">
        <v>260</v>
      </c>
      <c r="C41" s="20" t="s">
        <v>302</v>
      </c>
      <c r="D41" s="20" t="s">
        <v>303</v>
      </c>
      <c r="E41" s="20" t="s">
        <v>304</v>
      </c>
      <c r="F41" s="20" t="s">
        <v>315</v>
      </c>
      <c r="G41" s="20" t="s">
        <v>306</v>
      </c>
      <c r="H41" s="20" t="s">
        <v>109</v>
      </c>
      <c r="I41" s="21"/>
      <c r="J41" s="22"/>
      <c r="K41" s="21"/>
      <c r="L41" s="21"/>
      <c r="M41" s="21"/>
      <c r="N41" s="23" t="s">
        <v>5</v>
      </c>
      <c r="O41" s="24" t="s">
        <v>316</v>
      </c>
    </row>
    <row r="42" customFormat="false" ht="32.8" hidden="false" customHeight="false" outlineLevel="0" collapsed="false">
      <c r="A42" s="25" t="n">
        <v>30</v>
      </c>
      <c r="B42" s="25" t="s">
        <v>317</v>
      </c>
      <c r="C42" s="25" t="s">
        <v>302</v>
      </c>
      <c r="D42" s="25" t="s">
        <v>303</v>
      </c>
      <c r="E42" s="25" t="s">
        <v>304</v>
      </c>
      <c r="F42" s="25" t="s">
        <v>318</v>
      </c>
      <c r="G42" s="25" t="s">
        <v>306</v>
      </c>
      <c r="H42" s="25" t="s">
        <v>109</v>
      </c>
      <c r="I42" s="21"/>
      <c r="J42" s="22"/>
      <c r="K42" s="21"/>
      <c r="L42" s="21"/>
      <c r="M42" s="21"/>
      <c r="N42" s="23" t="s">
        <v>5</v>
      </c>
      <c r="O42" s="24" t="s">
        <v>311</v>
      </c>
    </row>
    <row r="43" customFormat="false" ht="32.8" hidden="false" customHeight="false" outlineLevel="0" collapsed="false">
      <c r="A43" s="20" t="n">
        <v>31</v>
      </c>
      <c r="B43" s="20" t="s">
        <v>277</v>
      </c>
      <c r="C43" s="20" t="s">
        <v>302</v>
      </c>
      <c r="D43" s="20" t="s">
        <v>303</v>
      </c>
      <c r="E43" s="20" t="s">
        <v>304</v>
      </c>
      <c r="F43" s="20" t="s">
        <v>319</v>
      </c>
      <c r="G43" s="20" t="s">
        <v>306</v>
      </c>
      <c r="H43" s="20" t="s">
        <v>109</v>
      </c>
      <c r="I43" s="21"/>
      <c r="J43" s="22"/>
      <c r="K43" s="21"/>
      <c r="L43" s="21"/>
      <c r="M43" s="21"/>
      <c r="N43" s="23" t="s">
        <v>5</v>
      </c>
      <c r="O43" s="24" t="s">
        <v>320</v>
      </c>
    </row>
    <row r="44" customFormat="false" ht="43.25" hidden="false" customHeight="false" outlineLevel="0" collapsed="false">
      <c r="A44" s="25" t="n">
        <v>32</v>
      </c>
      <c r="B44" s="25" t="s">
        <v>321</v>
      </c>
      <c r="C44" s="25" t="s">
        <v>302</v>
      </c>
      <c r="D44" s="25" t="s">
        <v>303</v>
      </c>
      <c r="E44" s="25" t="s">
        <v>304</v>
      </c>
      <c r="F44" s="25" t="s">
        <v>322</v>
      </c>
      <c r="G44" s="25" t="s">
        <v>306</v>
      </c>
      <c r="H44" s="25" t="s">
        <v>109</v>
      </c>
      <c r="I44" s="21"/>
      <c r="J44" s="22"/>
      <c r="K44" s="21"/>
      <c r="L44" s="21"/>
      <c r="M44" s="21"/>
      <c r="N44" s="23" t="s">
        <v>5</v>
      </c>
      <c r="O44" s="24" t="s">
        <v>320</v>
      </c>
    </row>
    <row r="45" customFormat="false" ht="32.8" hidden="false" customHeight="false" outlineLevel="0" collapsed="false">
      <c r="A45" s="20" t="n">
        <v>33</v>
      </c>
      <c r="B45" s="20" t="s">
        <v>271</v>
      </c>
      <c r="C45" s="20" t="s">
        <v>302</v>
      </c>
      <c r="D45" s="20" t="s">
        <v>303</v>
      </c>
      <c r="E45" s="20" t="s">
        <v>304</v>
      </c>
      <c r="F45" s="20" t="s">
        <v>323</v>
      </c>
      <c r="G45" s="20" t="s">
        <v>306</v>
      </c>
      <c r="H45" s="20" t="s">
        <v>109</v>
      </c>
      <c r="I45" s="21"/>
      <c r="J45" s="22"/>
      <c r="K45" s="21"/>
      <c r="L45" s="21"/>
      <c r="M45" s="21"/>
      <c r="N45" s="23" t="s">
        <v>5</v>
      </c>
      <c r="O45" s="24" t="s">
        <v>307</v>
      </c>
    </row>
    <row r="46" customFormat="false" ht="43.25" hidden="false" customHeight="false" outlineLevel="0" collapsed="false">
      <c r="A46" s="25" t="n">
        <v>34</v>
      </c>
      <c r="B46" s="25" t="s">
        <v>324</v>
      </c>
      <c r="C46" s="25" t="s">
        <v>302</v>
      </c>
      <c r="D46" s="25" t="s">
        <v>303</v>
      </c>
      <c r="E46" s="25" t="s">
        <v>304</v>
      </c>
      <c r="F46" s="25" t="s">
        <v>325</v>
      </c>
      <c r="G46" s="25" t="s">
        <v>306</v>
      </c>
      <c r="H46" s="25" t="s">
        <v>109</v>
      </c>
      <c r="I46" s="21"/>
      <c r="J46" s="22"/>
      <c r="K46" s="21"/>
      <c r="L46" s="21"/>
      <c r="M46" s="21"/>
      <c r="N46" s="23" t="s">
        <v>5</v>
      </c>
      <c r="O46" s="24" t="s">
        <v>326</v>
      </c>
    </row>
    <row r="47" customFormat="false" ht="43.25" hidden="false" customHeight="false" outlineLevel="0" collapsed="false">
      <c r="A47" s="20" t="n">
        <v>35</v>
      </c>
      <c r="B47" s="20" t="s">
        <v>327</v>
      </c>
      <c r="C47" s="20" t="s">
        <v>302</v>
      </c>
      <c r="D47" s="20" t="s">
        <v>303</v>
      </c>
      <c r="E47" s="20" t="s">
        <v>304</v>
      </c>
      <c r="F47" s="20" t="s">
        <v>328</v>
      </c>
      <c r="G47" s="20" t="s">
        <v>306</v>
      </c>
      <c r="H47" s="20" t="s">
        <v>109</v>
      </c>
      <c r="I47" s="21"/>
      <c r="J47" s="22"/>
      <c r="K47" s="21"/>
      <c r="L47" s="21"/>
      <c r="M47" s="21"/>
      <c r="N47" s="23" t="s">
        <v>5</v>
      </c>
      <c r="O47" s="24" t="s">
        <v>329</v>
      </c>
    </row>
    <row r="48" customFormat="false" ht="32.8" hidden="false" customHeight="false" outlineLevel="0" collapsed="false">
      <c r="A48" s="25" t="n">
        <v>36</v>
      </c>
      <c r="B48" s="25" t="s">
        <v>289</v>
      </c>
      <c r="C48" s="25" t="s">
        <v>302</v>
      </c>
      <c r="D48" s="25" t="s">
        <v>303</v>
      </c>
      <c r="E48" s="25" t="s">
        <v>304</v>
      </c>
      <c r="F48" s="25" t="s">
        <v>330</v>
      </c>
      <c r="G48" s="25" t="s">
        <v>306</v>
      </c>
      <c r="H48" s="25" t="s">
        <v>109</v>
      </c>
      <c r="I48" s="21"/>
      <c r="J48" s="22"/>
      <c r="K48" s="21"/>
      <c r="L48" s="21"/>
      <c r="M48" s="21"/>
      <c r="N48" s="23" t="s">
        <v>5</v>
      </c>
      <c r="O48" s="24" t="s">
        <v>331</v>
      </c>
    </row>
    <row r="49" customFormat="false" ht="32.8" hidden="false" customHeight="false" outlineLevel="0" collapsed="false">
      <c r="A49" s="20" t="n">
        <v>37</v>
      </c>
      <c r="B49" s="20" t="s">
        <v>295</v>
      </c>
      <c r="C49" s="20" t="s">
        <v>302</v>
      </c>
      <c r="D49" s="20" t="s">
        <v>303</v>
      </c>
      <c r="E49" s="20" t="s">
        <v>304</v>
      </c>
      <c r="F49" s="20" t="s">
        <v>332</v>
      </c>
      <c r="G49" s="20" t="s">
        <v>306</v>
      </c>
      <c r="H49" s="20" t="s">
        <v>109</v>
      </c>
      <c r="I49" s="21"/>
      <c r="J49" s="22"/>
      <c r="K49" s="21"/>
      <c r="L49" s="21"/>
      <c r="M49" s="21"/>
      <c r="N49" s="23" t="s">
        <v>5</v>
      </c>
      <c r="O49" s="24" t="s">
        <v>316</v>
      </c>
    </row>
    <row r="50" customFormat="false" ht="32.8" hidden="false" customHeight="false" outlineLevel="0" collapsed="false">
      <c r="A50" s="25" t="n">
        <v>38</v>
      </c>
      <c r="B50" s="25" t="s">
        <v>333</v>
      </c>
      <c r="C50" s="25" t="s">
        <v>302</v>
      </c>
      <c r="D50" s="25" t="s">
        <v>303</v>
      </c>
      <c r="E50" s="25" t="s">
        <v>304</v>
      </c>
      <c r="F50" s="25" t="s">
        <v>334</v>
      </c>
      <c r="G50" s="25" t="s">
        <v>306</v>
      </c>
      <c r="H50" s="25" t="s">
        <v>109</v>
      </c>
      <c r="I50" s="21"/>
      <c r="J50" s="22"/>
      <c r="K50" s="21"/>
      <c r="L50" s="21"/>
      <c r="M50" s="21"/>
      <c r="N50" s="23" t="s">
        <v>5</v>
      </c>
      <c r="O50" s="24" t="s">
        <v>316</v>
      </c>
    </row>
    <row r="51" customFormat="false" ht="43.25" hidden="false" customHeight="false" outlineLevel="0" collapsed="false">
      <c r="A51" s="20" t="n">
        <v>39</v>
      </c>
      <c r="B51" s="20" t="s">
        <v>283</v>
      </c>
      <c r="C51" s="20" t="s">
        <v>302</v>
      </c>
      <c r="D51" s="20" t="s">
        <v>303</v>
      </c>
      <c r="E51" s="20" t="s">
        <v>304</v>
      </c>
      <c r="F51" s="20" t="s">
        <v>335</v>
      </c>
      <c r="G51" s="20" t="s">
        <v>306</v>
      </c>
      <c r="H51" s="20" t="s">
        <v>109</v>
      </c>
      <c r="I51" s="21"/>
      <c r="J51" s="22"/>
      <c r="K51" s="21"/>
      <c r="L51" s="21"/>
      <c r="M51" s="21"/>
      <c r="N51" s="23" t="s">
        <v>5</v>
      </c>
      <c r="O51" s="24" t="s">
        <v>336</v>
      </c>
    </row>
    <row r="52" customFormat="false" ht="32.8" hidden="false" customHeight="false" outlineLevel="0" collapsed="false">
      <c r="A52" s="25" t="n">
        <v>40</v>
      </c>
      <c r="B52" s="25" t="s">
        <v>337</v>
      </c>
      <c r="C52" s="25" t="s">
        <v>302</v>
      </c>
      <c r="D52" s="25" t="s">
        <v>303</v>
      </c>
      <c r="E52" s="25" t="s">
        <v>304</v>
      </c>
      <c r="F52" s="25" t="s">
        <v>338</v>
      </c>
      <c r="G52" s="25" t="s">
        <v>306</v>
      </c>
      <c r="H52" s="25" t="s">
        <v>109</v>
      </c>
      <c r="I52" s="21"/>
      <c r="J52" s="22"/>
      <c r="K52" s="21"/>
      <c r="L52" s="21"/>
      <c r="M52" s="21"/>
      <c r="N52" s="23" t="s">
        <v>5</v>
      </c>
      <c r="O52" s="24" t="s">
        <v>339</v>
      </c>
    </row>
    <row r="53" customFormat="false" ht="53.7" hidden="false" customHeight="false" outlineLevel="0" collapsed="false">
      <c r="A53" s="20" t="n">
        <v>41</v>
      </c>
      <c r="B53" s="20" t="s">
        <v>340</v>
      </c>
      <c r="C53" s="20" t="s">
        <v>302</v>
      </c>
      <c r="D53" s="20" t="s">
        <v>303</v>
      </c>
      <c r="E53" s="20" t="s">
        <v>304</v>
      </c>
      <c r="F53" s="20" t="s">
        <v>341</v>
      </c>
      <c r="G53" s="20" t="s">
        <v>306</v>
      </c>
      <c r="H53" s="20" t="s">
        <v>109</v>
      </c>
      <c r="I53" s="21"/>
      <c r="J53" s="22"/>
      <c r="K53" s="21"/>
      <c r="L53" s="21"/>
      <c r="M53" s="21"/>
      <c r="N53" s="23" t="s">
        <v>187</v>
      </c>
      <c r="O53" s="24" t="s">
        <v>342</v>
      </c>
    </row>
    <row r="54" customFormat="false" ht="53.7" hidden="false" customHeight="false" outlineLevel="0" collapsed="false">
      <c r="A54" s="25" t="n">
        <v>42</v>
      </c>
      <c r="B54" s="25" t="s">
        <v>343</v>
      </c>
      <c r="C54" s="25" t="s">
        <v>302</v>
      </c>
      <c r="D54" s="25" t="s">
        <v>303</v>
      </c>
      <c r="E54" s="25" t="s">
        <v>304</v>
      </c>
      <c r="F54" s="25" t="s">
        <v>344</v>
      </c>
      <c r="G54" s="25" t="s">
        <v>306</v>
      </c>
      <c r="H54" s="25" t="s">
        <v>109</v>
      </c>
      <c r="I54" s="21"/>
      <c r="J54" s="22"/>
      <c r="K54" s="21"/>
      <c r="L54" s="21"/>
      <c r="M54" s="21"/>
      <c r="N54" s="23" t="s">
        <v>187</v>
      </c>
      <c r="O54" s="24" t="s">
        <v>342</v>
      </c>
    </row>
    <row r="55" customFormat="false" ht="53.7" hidden="false" customHeight="false" outlineLevel="0" collapsed="false">
      <c r="A55" s="20" t="n">
        <v>43</v>
      </c>
      <c r="B55" s="20" t="s">
        <v>345</v>
      </c>
      <c r="C55" s="20" t="s">
        <v>302</v>
      </c>
      <c r="D55" s="20" t="s">
        <v>303</v>
      </c>
      <c r="E55" s="20" t="s">
        <v>304</v>
      </c>
      <c r="F55" s="20" t="s">
        <v>346</v>
      </c>
      <c r="G55" s="20" t="s">
        <v>306</v>
      </c>
      <c r="H55" s="20" t="s">
        <v>109</v>
      </c>
      <c r="I55" s="21"/>
      <c r="J55" s="22"/>
      <c r="K55" s="21"/>
      <c r="L55" s="21"/>
      <c r="M55" s="21"/>
      <c r="N55" s="23" t="s">
        <v>187</v>
      </c>
      <c r="O55" s="24" t="s">
        <v>342</v>
      </c>
    </row>
    <row r="56" customFormat="false" ht="32.8" hidden="false" customHeight="false" outlineLevel="0" collapsed="false">
      <c r="A56" s="25" t="n">
        <v>44</v>
      </c>
      <c r="B56" s="25" t="s">
        <v>347</v>
      </c>
      <c r="C56" s="25" t="s">
        <v>302</v>
      </c>
      <c r="D56" s="25" t="s">
        <v>303</v>
      </c>
      <c r="E56" s="25" t="s">
        <v>304</v>
      </c>
      <c r="F56" s="25" t="s">
        <v>348</v>
      </c>
      <c r="G56" s="25" t="s">
        <v>306</v>
      </c>
      <c r="H56" s="25" t="s">
        <v>109</v>
      </c>
      <c r="I56" s="21"/>
      <c r="J56" s="22"/>
      <c r="K56" s="21"/>
      <c r="L56" s="21"/>
      <c r="M56" s="21"/>
      <c r="N56" s="23" t="s">
        <v>5</v>
      </c>
      <c r="O56" s="24" t="s">
        <v>307</v>
      </c>
    </row>
  </sheetData>
  <autoFilter ref="A12:O56"/>
  <mergeCells count="6">
    <mergeCell ref="A1:O1"/>
    <mergeCell ref="I5:O5"/>
    <mergeCell ref="I6:O6"/>
    <mergeCell ref="I7:O7"/>
    <mergeCell ref="I8:O8"/>
    <mergeCell ref="I9:O9"/>
  </mergeCells>
  <conditionalFormatting sqref="K13:K256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56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56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56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349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COUNTA($A$13:$A$31)</f>
        <v>19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C5-COUNTIF($K$13:$K$31,"OK")-COUNTIF($K$13:$K$31,"KO")-COUNTIF($K$13:$K$31,"Bloqué")-COUNTIF($K$13:$K$31,"N/A")</f>
        <v>19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COUNTIF($K$13:$K$31,"OK")</f>
        <v>0</v>
      </c>
      <c r="D7" s="18" t="n">
        <f aca="false">IF($C$5=0,0,C7/$C$5)</f>
        <v>0</v>
      </c>
      <c r="E7" s="16" t="s">
        <v>66</v>
      </c>
      <c r="G7" s="17" t="n">
        <f aca="false">COUNTIFS($K$13:$K$31,"KO",$H$13:$H$31,"Haute")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COUNTIF($K$13:$K$31,"KO")</f>
        <v>0</v>
      </c>
      <c r="D8" s="18" t="n">
        <f aca="false">IF($C$5=0,0,C8/$C$5)</f>
        <v>0</v>
      </c>
      <c r="E8" s="16" t="s">
        <v>68</v>
      </c>
      <c r="G8" s="17" t="str">
        <f aca="false">COUNTIF(N13:N31,"OK")&amp;" / "&amp;COUNTIF(N13:N31,"OK PARTIEL")&amp;" / "&amp;COUNTIF(N13:N31,"KO")&amp;" / "&amp;COUNTIF(N13:N31,"NON EXÉCUTÉ")</f>
        <v>16 / 0 / 0 / 3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COUNTIF($K$13:$K$31,"Bloqué")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COUNTIF($K$13:$K$31,"N/A")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350</v>
      </c>
      <c r="C13" s="20" t="s">
        <v>87</v>
      </c>
      <c r="D13" s="20" t="s">
        <v>351</v>
      </c>
      <c r="E13" s="20" t="s">
        <v>279</v>
      </c>
      <c r="F13" s="20" t="s">
        <v>352</v>
      </c>
      <c r="G13" s="20" t="s">
        <v>353</v>
      </c>
      <c r="H13" s="20" t="s">
        <v>92</v>
      </c>
      <c r="I13" s="21"/>
      <c r="J13" s="22"/>
      <c r="K13" s="21"/>
      <c r="L13" s="21"/>
      <c r="M13" s="21"/>
      <c r="N13" s="23" t="s">
        <v>187</v>
      </c>
      <c r="O13" s="24" t="s">
        <v>354</v>
      </c>
    </row>
    <row r="14" customFormat="false" ht="32.8" hidden="false" customHeight="false" outlineLevel="0" collapsed="false">
      <c r="A14" s="25" t="n">
        <v>2</v>
      </c>
      <c r="B14" s="25" t="s">
        <v>355</v>
      </c>
      <c r="C14" s="25" t="s">
        <v>87</v>
      </c>
      <c r="D14" s="25" t="s">
        <v>356</v>
      </c>
      <c r="E14" s="25" t="s">
        <v>357</v>
      </c>
      <c r="F14" s="25" t="s">
        <v>358</v>
      </c>
      <c r="G14" s="25" t="s">
        <v>359</v>
      </c>
      <c r="H14" s="25" t="s">
        <v>92</v>
      </c>
      <c r="I14" s="21"/>
      <c r="J14" s="22"/>
      <c r="K14" s="21"/>
      <c r="L14" s="21"/>
      <c r="M14" s="21"/>
      <c r="N14" s="23" t="s">
        <v>187</v>
      </c>
      <c r="O14" s="24" t="s">
        <v>360</v>
      </c>
    </row>
    <row r="15" customFormat="false" ht="15" hidden="false" customHeight="false" outlineLevel="0" collapsed="false">
      <c r="A15" s="20" t="n">
        <v>3</v>
      </c>
      <c r="B15" s="20" t="s">
        <v>361</v>
      </c>
      <c r="C15" s="20" t="s">
        <v>87</v>
      </c>
      <c r="D15" s="20" t="s">
        <v>362</v>
      </c>
      <c r="E15" s="20" t="s">
        <v>363</v>
      </c>
      <c r="F15" s="20" t="s">
        <v>364</v>
      </c>
      <c r="G15" s="20" t="s">
        <v>365</v>
      </c>
      <c r="H15" s="20" t="s">
        <v>109</v>
      </c>
      <c r="I15" s="21"/>
      <c r="J15" s="22"/>
      <c r="K15" s="21"/>
      <c r="L15" s="21"/>
      <c r="M15" s="21"/>
      <c r="N15" s="23" t="s">
        <v>5</v>
      </c>
      <c r="O15" s="24" t="s">
        <v>366</v>
      </c>
    </row>
    <row r="16" customFormat="false" ht="32.8" hidden="false" customHeight="false" outlineLevel="0" collapsed="false">
      <c r="A16" s="25" t="n">
        <v>4</v>
      </c>
      <c r="B16" s="25" t="s">
        <v>350</v>
      </c>
      <c r="C16" s="25" t="s">
        <v>302</v>
      </c>
      <c r="D16" s="25" t="s">
        <v>303</v>
      </c>
      <c r="E16" s="25" t="s">
        <v>304</v>
      </c>
      <c r="F16" s="25" t="s">
        <v>367</v>
      </c>
      <c r="G16" s="25" t="s">
        <v>306</v>
      </c>
      <c r="H16" s="25" t="s">
        <v>109</v>
      </c>
      <c r="I16" s="21"/>
      <c r="J16" s="22"/>
      <c r="K16" s="21"/>
      <c r="L16" s="21"/>
      <c r="M16" s="21"/>
      <c r="N16" s="23" t="s">
        <v>5</v>
      </c>
      <c r="O16" s="24" t="s">
        <v>368</v>
      </c>
    </row>
    <row r="17" customFormat="false" ht="32.8" hidden="false" customHeight="false" outlineLevel="0" collapsed="false">
      <c r="A17" s="20" t="n">
        <v>5</v>
      </c>
      <c r="B17" s="20" t="s">
        <v>369</v>
      </c>
      <c r="C17" s="20" t="s">
        <v>302</v>
      </c>
      <c r="D17" s="20" t="s">
        <v>303</v>
      </c>
      <c r="E17" s="20" t="s">
        <v>304</v>
      </c>
      <c r="F17" s="20" t="s">
        <v>370</v>
      </c>
      <c r="G17" s="20" t="s">
        <v>306</v>
      </c>
      <c r="H17" s="20" t="s">
        <v>109</v>
      </c>
      <c r="I17" s="21"/>
      <c r="J17" s="22"/>
      <c r="K17" s="21"/>
      <c r="L17" s="21"/>
      <c r="M17" s="21"/>
      <c r="N17" s="23" t="s">
        <v>5</v>
      </c>
      <c r="O17" s="24" t="s">
        <v>307</v>
      </c>
    </row>
    <row r="18" customFormat="false" ht="43.25" hidden="false" customHeight="false" outlineLevel="0" collapsed="false">
      <c r="A18" s="25" t="n">
        <v>6</v>
      </c>
      <c r="B18" s="25" t="s">
        <v>361</v>
      </c>
      <c r="C18" s="25" t="s">
        <v>302</v>
      </c>
      <c r="D18" s="25" t="s">
        <v>303</v>
      </c>
      <c r="E18" s="25" t="s">
        <v>304</v>
      </c>
      <c r="F18" s="25" t="s">
        <v>371</v>
      </c>
      <c r="G18" s="25" t="s">
        <v>306</v>
      </c>
      <c r="H18" s="25" t="s">
        <v>109</v>
      </c>
      <c r="I18" s="21"/>
      <c r="J18" s="22"/>
      <c r="K18" s="21"/>
      <c r="L18" s="21"/>
      <c r="M18" s="21"/>
      <c r="N18" s="23" t="s">
        <v>5</v>
      </c>
      <c r="O18" s="24" t="s">
        <v>307</v>
      </c>
    </row>
    <row r="19" customFormat="false" ht="32.8" hidden="false" customHeight="false" outlineLevel="0" collapsed="false">
      <c r="A19" s="20" t="n">
        <v>7</v>
      </c>
      <c r="B19" s="20" t="s">
        <v>372</v>
      </c>
      <c r="C19" s="20" t="s">
        <v>302</v>
      </c>
      <c r="D19" s="20" t="s">
        <v>303</v>
      </c>
      <c r="E19" s="20" t="s">
        <v>304</v>
      </c>
      <c r="F19" s="20" t="s">
        <v>373</v>
      </c>
      <c r="G19" s="20" t="s">
        <v>306</v>
      </c>
      <c r="H19" s="20" t="s">
        <v>109</v>
      </c>
      <c r="I19" s="21"/>
      <c r="J19" s="22"/>
      <c r="K19" s="21"/>
      <c r="L19" s="21"/>
      <c r="M19" s="21"/>
      <c r="N19" s="23" t="s">
        <v>5</v>
      </c>
      <c r="O19" s="24" t="s">
        <v>311</v>
      </c>
    </row>
    <row r="20" customFormat="false" ht="32.8" hidden="false" customHeight="false" outlineLevel="0" collapsed="false">
      <c r="A20" s="25" t="n">
        <v>8</v>
      </c>
      <c r="B20" s="25" t="s">
        <v>374</v>
      </c>
      <c r="C20" s="25" t="s">
        <v>302</v>
      </c>
      <c r="D20" s="25" t="s">
        <v>303</v>
      </c>
      <c r="E20" s="25" t="s">
        <v>304</v>
      </c>
      <c r="F20" s="25" t="s">
        <v>375</v>
      </c>
      <c r="G20" s="25" t="s">
        <v>306</v>
      </c>
      <c r="H20" s="25" t="s">
        <v>109</v>
      </c>
      <c r="I20" s="21"/>
      <c r="J20" s="22"/>
      <c r="K20" s="21"/>
      <c r="L20" s="21"/>
      <c r="M20" s="21"/>
      <c r="N20" s="23" t="s">
        <v>5</v>
      </c>
      <c r="O20" s="24" t="s">
        <v>311</v>
      </c>
    </row>
    <row r="21" customFormat="false" ht="32.8" hidden="false" customHeight="false" outlineLevel="0" collapsed="false">
      <c r="A21" s="20" t="n">
        <v>9</v>
      </c>
      <c r="B21" s="20" t="s">
        <v>376</v>
      </c>
      <c r="C21" s="20" t="s">
        <v>302</v>
      </c>
      <c r="D21" s="20" t="s">
        <v>303</v>
      </c>
      <c r="E21" s="20" t="s">
        <v>304</v>
      </c>
      <c r="F21" s="20" t="s">
        <v>377</v>
      </c>
      <c r="G21" s="20" t="s">
        <v>306</v>
      </c>
      <c r="H21" s="20" t="s">
        <v>109</v>
      </c>
      <c r="I21" s="21"/>
      <c r="J21" s="22"/>
      <c r="K21" s="21"/>
      <c r="L21" s="21"/>
      <c r="M21" s="21"/>
      <c r="N21" s="23" t="s">
        <v>5</v>
      </c>
      <c r="O21" s="24" t="s">
        <v>311</v>
      </c>
    </row>
    <row r="22" customFormat="false" ht="43.25" hidden="false" customHeight="false" outlineLevel="0" collapsed="false">
      <c r="A22" s="25" t="n">
        <v>10</v>
      </c>
      <c r="B22" s="25" t="s">
        <v>355</v>
      </c>
      <c r="C22" s="25" t="s">
        <v>302</v>
      </c>
      <c r="D22" s="25" t="s">
        <v>303</v>
      </c>
      <c r="E22" s="25" t="s">
        <v>304</v>
      </c>
      <c r="F22" s="25" t="s">
        <v>378</v>
      </c>
      <c r="G22" s="25" t="s">
        <v>306</v>
      </c>
      <c r="H22" s="25" t="s">
        <v>109</v>
      </c>
      <c r="I22" s="21"/>
      <c r="J22" s="22"/>
      <c r="K22" s="21"/>
      <c r="L22" s="21"/>
      <c r="M22" s="21"/>
      <c r="N22" s="23" t="s">
        <v>5</v>
      </c>
      <c r="O22" s="24" t="s">
        <v>379</v>
      </c>
    </row>
    <row r="23" customFormat="false" ht="43.25" hidden="false" customHeight="false" outlineLevel="0" collapsed="false">
      <c r="A23" s="20" t="n">
        <v>11</v>
      </c>
      <c r="B23" s="20" t="s">
        <v>380</v>
      </c>
      <c r="C23" s="20" t="s">
        <v>302</v>
      </c>
      <c r="D23" s="20" t="s">
        <v>303</v>
      </c>
      <c r="E23" s="20" t="s">
        <v>304</v>
      </c>
      <c r="F23" s="20" t="s">
        <v>381</v>
      </c>
      <c r="G23" s="20" t="s">
        <v>306</v>
      </c>
      <c r="H23" s="20" t="s">
        <v>109</v>
      </c>
      <c r="I23" s="21"/>
      <c r="J23" s="22"/>
      <c r="K23" s="21"/>
      <c r="L23" s="21"/>
      <c r="M23" s="21"/>
      <c r="N23" s="23" t="s">
        <v>5</v>
      </c>
      <c r="O23" s="24" t="s">
        <v>329</v>
      </c>
    </row>
    <row r="24" customFormat="false" ht="53.7" hidden="false" customHeight="false" outlineLevel="0" collapsed="false">
      <c r="A24" s="25" t="n">
        <v>12</v>
      </c>
      <c r="B24" s="25" t="s">
        <v>382</v>
      </c>
      <c r="C24" s="25" t="s">
        <v>302</v>
      </c>
      <c r="D24" s="25" t="s">
        <v>303</v>
      </c>
      <c r="E24" s="25" t="s">
        <v>304</v>
      </c>
      <c r="F24" s="25" t="s">
        <v>383</v>
      </c>
      <c r="G24" s="25" t="s">
        <v>306</v>
      </c>
      <c r="H24" s="25" t="s">
        <v>109</v>
      </c>
      <c r="I24" s="21"/>
      <c r="J24" s="22"/>
      <c r="K24" s="21"/>
      <c r="L24" s="21"/>
      <c r="M24" s="21"/>
      <c r="N24" s="23" t="s">
        <v>5</v>
      </c>
      <c r="O24" s="24" t="s">
        <v>384</v>
      </c>
    </row>
    <row r="25" customFormat="false" ht="43.25" hidden="false" customHeight="false" outlineLevel="0" collapsed="false">
      <c r="A25" s="20" t="n">
        <v>13</v>
      </c>
      <c r="B25" s="20" t="s">
        <v>385</v>
      </c>
      <c r="C25" s="20" t="s">
        <v>302</v>
      </c>
      <c r="D25" s="20" t="s">
        <v>303</v>
      </c>
      <c r="E25" s="20" t="s">
        <v>304</v>
      </c>
      <c r="F25" s="20" t="s">
        <v>386</v>
      </c>
      <c r="G25" s="20" t="s">
        <v>306</v>
      </c>
      <c r="H25" s="20" t="s">
        <v>109</v>
      </c>
      <c r="I25" s="21"/>
      <c r="J25" s="22"/>
      <c r="K25" s="21"/>
      <c r="L25" s="21"/>
      <c r="M25" s="21"/>
      <c r="N25" s="23" t="s">
        <v>187</v>
      </c>
      <c r="O25" s="24" t="s">
        <v>387</v>
      </c>
    </row>
    <row r="26" customFormat="false" ht="43.25" hidden="false" customHeight="false" outlineLevel="0" collapsed="false">
      <c r="A26" s="25" t="n">
        <v>14</v>
      </c>
      <c r="B26" s="25" t="s">
        <v>388</v>
      </c>
      <c r="C26" s="25" t="s">
        <v>302</v>
      </c>
      <c r="D26" s="25" t="s">
        <v>303</v>
      </c>
      <c r="E26" s="25" t="s">
        <v>304</v>
      </c>
      <c r="F26" s="25" t="s">
        <v>389</v>
      </c>
      <c r="G26" s="25" t="s">
        <v>306</v>
      </c>
      <c r="H26" s="25" t="s">
        <v>109</v>
      </c>
      <c r="I26" s="21"/>
      <c r="J26" s="22"/>
      <c r="K26" s="21"/>
      <c r="L26" s="21"/>
      <c r="M26" s="21"/>
      <c r="N26" s="23" t="s">
        <v>5</v>
      </c>
      <c r="O26" s="24" t="s">
        <v>326</v>
      </c>
    </row>
    <row r="27" customFormat="false" ht="32.8" hidden="false" customHeight="false" outlineLevel="0" collapsed="false">
      <c r="A27" s="20" t="n">
        <v>15</v>
      </c>
      <c r="B27" s="20" t="s">
        <v>390</v>
      </c>
      <c r="C27" s="20" t="s">
        <v>302</v>
      </c>
      <c r="D27" s="20" t="s">
        <v>303</v>
      </c>
      <c r="E27" s="20" t="s">
        <v>304</v>
      </c>
      <c r="F27" s="20" t="s">
        <v>391</v>
      </c>
      <c r="G27" s="20" t="s">
        <v>306</v>
      </c>
      <c r="H27" s="20" t="s">
        <v>109</v>
      </c>
      <c r="I27" s="21"/>
      <c r="J27" s="22"/>
      <c r="K27" s="21"/>
      <c r="L27" s="21"/>
      <c r="M27" s="21"/>
      <c r="N27" s="23" t="s">
        <v>5</v>
      </c>
      <c r="O27" s="24" t="s">
        <v>392</v>
      </c>
    </row>
    <row r="28" customFormat="false" ht="43.25" hidden="false" customHeight="false" outlineLevel="0" collapsed="false">
      <c r="A28" s="25" t="n">
        <v>16</v>
      </c>
      <c r="B28" s="25" t="s">
        <v>393</v>
      </c>
      <c r="C28" s="25" t="s">
        <v>302</v>
      </c>
      <c r="D28" s="25" t="s">
        <v>303</v>
      </c>
      <c r="E28" s="25" t="s">
        <v>304</v>
      </c>
      <c r="F28" s="25" t="s">
        <v>394</v>
      </c>
      <c r="G28" s="25" t="s">
        <v>306</v>
      </c>
      <c r="H28" s="25" t="s">
        <v>109</v>
      </c>
      <c r="I28" s="21"/>
      <c r="J28" s="22"/>
      <c r="K28" s="21"/>
      <c r="L28" s="21"/>
      <c r="M28" s="21"/>
      <c r="N28" s="23" t="s">
        <v>5</v>
      </c>
      <c r="O28" s="24" t="s">
        <v>316</v>
      </c>
    </row>
    <row r="29" customFormat="false" ht="43.25" hidden="false" customHeight="false" outlineLevel="0" collapsed="false">
      <c r="A29" s="20" t="n">
        <v>17</v>
      </c>
      <c r="B29" s="20" t="s">
        <v>395</v>
      </c>
      <c r="C29" s="20" t="s">
        <v>302</v>
      </c>
      <c r="D29" s="20" t="s">
        <v>303</v>
      </c>
      <c r="E29" s="20" t="s">
        <v>304</v>
      </c>
      <c r="F29" s="20" t="s">
        <v>396</v>
      </c>
      <c r="G29" s="20" t="s">
        <v>306</v>
      </c>
      <c r="H29" s="20" t="s">
        <v>109</v>
      </c>
      <c r="I29" s="21"/>
      <c r="J29" s="22"/>
      <c r="K29" s="21"/>
      <c r="L29" s="21"/>
      <c r="M29" s="21"/>
      <c r="N29" s="23" t="s">
        <v>5</v>
      </c>
      <c r="O29" s="24" t="s">
        <v>326</v>
      </c>
    </row>
    <row r="30" customFormat="false" ht="43.25" hidden="false" customHeight="false" outlineLevel="0" collapsed="false">
      <c r="A30" s="25" t="n">
        <v>18</v>
      </c>
      <c r="B30" s="25" t="s">
        <v>397</v>
      </c>
      <c r="C30" s="25" t="s">
        <v>302</v>
      </c>
      <c r="D30" s="25" t="s">
        <v>303</v>
      </c>
      <c r="E30" s="25" t="s">
        <v>304</v>
      </c>
      <c r="F30" s="25" t="s">
        <v>398</v>
      </c>
      <c r="G30" s="25" t="s">
        <v>306</v>
      </c>
      <c r="H30" s="25" t="s">
        <v>109</v>
      </c>
      <c r="I30" s="21"/>
      <c r="J30" s="22"/>
      <c r="K30" s="21"/>
      <c r="L30" s="21"/>
      <c r="M30" s="21"/>
      <c r="N30" s="23" t="s">
        <v>5</v>
      </c>
      <c r="O30" s="24" t="s">
        <v>399</v>
      </c>
    </row>
    <row r="31" customFormat="false" ht="43.25" hidden="false" customHeight="false" outlineLevel="0" collapsed="false">
      <c r="A31" s="20" t="n">
        <v>19</v>
      </c>
      <c r="B31" s="20" t="s">
        <v>400</v>
      </c>
      <c r="C31" s="20" t="s">
        <v>302</v>
      </c>
      <c r="D31" s="20" t="s">
        <v>303</v>
      </c>
      <c r="E31" s="20" t="s">
        <v>304</v>
      </c>
      <c r="F31" s="20" t="s">
        <v>401</v>
      </c>
      <c r="G31" s="20" t="s">
        <v>306</v>
      </c>
      <c r="H31" s="20" t="s">
        <v>109</v>
      </c>
      <c r="I31" s="21"/>
      <c r="J31" s="22"/>
      <c r="K31" s="21"/>
      <c r="L31" s="21"/>
      <c r="M31" s="21"/>
      <c r="N31" s="23" t="s">
        <v>5</v>
      </c>
      <c r="O31" s="24" t="s">
        <v>307</v>
      </c>
    </row>
  </sheetData>
  <autoFilter ref="A12:O31"/>
  <mergeCells count="6">
    <mergeCell ref="A1:O1"/>
    <mergeCell ref="I5:O5"/>
    <mergeCell ref="I6:O6"/>
    <mergeCell ref="I7:O7"/>
    <mergeCell ref="I8:O8"/>
    <mergeCell ref="I9:O9"/>
  </mergeCells>
  <conditionalFormatting sqref="K13:K231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31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31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31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402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COUNTA($A$13:$A$25)</f>
        <v>13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C5-COUNTIF($K$13:$K$25,"OK")-COUNTIF($K$13:$K$25,"KO")-COUNTIF($K$13:$K$25,"Bloqué")-COUNTIF($K$13:$K$25,"N/A")</f>
        <v>13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COUNTIF($K$13:$K$25,"OK")</f>
        <v>0</v>
      </c>
      <c r="D7" s="18" t="n">
        <f aca="false">IF($C$5=0,0,C7/$C$5)</f>
        <v>0</v>
      </c>
      <c r="E7" s="16" t="s">
        <v>66</v>
      </c>
      <c r="G7" s="17" t="n">
        <f aca="false">COUNTIFS($K$13:$K$25,"KO",$H$13:$H$25,"Haute")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COUNTIF($K$13:$K$25,"KO")</f>
        <v>0</v>
      </c>
      <c r="D8" s="18" t="n">
        <f aca="false">IF($C$5=0,0,C8/$C$5)</f>
        <v>0</v>
      </c>
      <c r="E8" s="16" t="s">
        <v>68</v>
      </c>
      <c r="G8" s="17" t="str">
        <f aca="false">COUNTIF(N13:N25,"OK")&amp;" / "&amp;COUNTIF(N13:N25,"OK PARTIEL")&amp;" / "&amp;COUNTIF(N13:N25,"KO")&amp;" / "&amp;COUNTIF(N13:N25,"NON EXÉCUTÉ")</f>
        <v>11 / 2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COUNTIF($K$13:$K$25,"Bloqué")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COUNTIF($K$13:$K$25,"N/A")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403</v>
      </c>
      <c r="C13" s="20" t="s">
        <v>87</v>
      </c>
      <c r="D13" s="20" t="s">
        <v>404</v>
      </c>
      <c r="E13" s="20" t="s">
        <v>405</v>
      </c>
      <c r="F13" s="20" t="s">
        <v>406</v>
      </c>
      <c r="G13" s="20" t="s">
        <v>407</v>
      </c>
      <c r="H13" s="20" t="s">
        <v>92</v>
      </c>
      <c r="I13" s="21"/>
      <c r="J13" s="22"/>
      <c r="K13" s="21"/>
      <c r="L13" s="21"/>
      <c r="M13" s="21"/>
      <c r="N13" s="23" t="s">
        <v>5</v>
      </c>
      <c r="O13" s="24" t="s">
        <v>408</v>
      </c>
    </row>
    <row r="14" customFormat="false" ht="43.25" hidden="false" customHeight="false" outlineLevel="0" collapsed="false">
      <c r="A14" s="25" t="n">
        <v>2</v>
      </c>
      <c r="B14" s="25" t="s">
        <v>409</v>
      </c>
      <c r="C14" s="25" t="s">
        <v>87</v>
      </c>
      <c r="D14" s="25" t="s">
        <v>410</v>
      </c>
      <c r="E14" s="25" t="s">
        <v>411</v>
      </c>
      <c r="F14" s="25" t="s">
        <v>412</v>
      </c>
      <c r="G14" s="25" t="s">
        <v>413</v>
      </c>
      <c r="H14" s="25" t="s">
        <v>92</v>
      </c>
      <c r="I14" s="21"/>
      <c r="J14" s="22"/>
      <c r="K14" s="21"/>
      <c r="L14" s="21"/>
      <c r="M14" s="21"/>
      <c r="N14" s="23" t="s">
        <v>114</v>
      </c>
      <c r="O14" s="24" t="s">
        <v>414</v>
      </c>
    </row>
    <row r="15" customFormat="false" ht="32.8" hidden="false" customHeight="false" outlineLevel="0" collapsed="false">
      <c r="A15" s="20" t="n">
        <v>3</v>
      </c>
      <c r="B15" s="20" t="s">
        <v>415</v>
      </c>
      <c r="C15" s="20" t="s">
        <v>87</v>
      </c>
      <c r="D15" s="20" t="s">
        <v>416</v>
      </c>
      <c r="E15" s="20" t="s">
        <v>417</v>
      </c>
      <c r="F15" s="20" t="s">
        <v>418</v>
      </c>
      <c r="G15" s="20" t="s">
        <v>419</v>
      </c>
      <c r="H15" s="20" t="s">
        <v>92</v>
      </c>
      <c r="I15" s="21"/>
      <c r="J15" s="22"/>
      <c r="K15" s="21"/>
      <c r="L15" s="21"/>
      <c r="M15" s="21"/>
      <c r="N15" s="23" t="s">
        <v>114</v>
      </c>
      <c r="O15" s="24" t="s">
        <v>420</v>
      </c>
    </row>
    <row r="16" customFormat="false" ht="43.25" hidden="false" customHeight="false" outlineLevel="0" collapsed="false">
      <c r="A16" s="25" t="n">
        <v>4</v>
      </c>
      <c r="B16" s="25" t="s">
        <v>403</v>
      </c>
      <c r="C16" s="25" t="s">
        <v>302</v>
      </c>
      <c r="D16" s="25" t="s">
        <v>303</v>
      </c>
      <c r="E16" s="25" t="s">
        <v>304</v>
      </c>
      <c r="F16" s="25" t="s">
        <v>421</v>
      </c>
      <c r="G16" s="25" t="s">
        <v>306</v>
      </c>
      <c r="H16" s="25" t="s">
        <v>109</v>
      </c>
      <c r="I16" s="21"/>
      <c r="J16" s="22"/>
      <c r="K16" s="21"/>
      <c r="L16" s="21"/>
      <c r="M16" s="21"/>
      <c r="N16" s="23" t="s">
        <v>5</v>
      </c>
      <c r="O16" s="24" t="s">
        <v>422</v>
      </c>
    </row>
    <row r="17" customFormat="false" ht="32.8" hidden="false" customHeight="false" outlineLevel="0" collapsed="false">
      <c r="A17" s="20" t="n">
        <v>5</v>
      </c>
      <c r="B17" s="20" t="s">
        <v>415</v>
      </c>
      <c r="C17" s="20" t="s">
        <v>302</v>
      </c>
      <c r="D17" s="20" t="s">
        <v>303</v>
      </c>
      <c r="E17" s="20" t="s">
        <v>304</v>
      </c>
      <c r="F17" s="20" t="s">
        <v>423</v>
      </c>
      <c r="G17" s="20" t="s">
        <v>306</v>
      </c>
      <c r="H17" s="20" t="s">
        <v>109</v>
      </c>
      <c r="I17" s="21"/>
      <c r="J17" s="22"/>
      <c r="K17" s="21"/>
      <c r="L17" s="21"/>
      <c r="M17" s="21"/>
      <c r="N17" s="23" t="s">
        <v>5</v>
      </c>
      <c r="O17" s="24" t="s">
        <v>424</v>
      </c>
    </row>
    <row r="18" customFormat="false" ht="32.8" hidden="false" customHeight="false" outlineLevel="0" collapsed="false">
      <c r="A18" s="25" t="n">
        <v>6</v>
      </c>
      <c r="B18" s="25" t="s">
        <v>409</v>
      </c>
      <c r="C18" s="25" t="s">
        <v>302</v>
      </c>
      <c r="D18" s="25" t="s">
        <v>303</v>
      </c>
      <c r="E18" s="25" t="s">
        <v>304</v>
      </c>
      <c r="F18" s="25" t="s">
        <v>425</v>
      </c>
      <c r="G18" s="25" t="s">
        <v>306</v>
      </c>
      <c r="H18" s="25" t="s">
        <v>109</v>
      </c>
      <c r="I18" s="21"/>
      <c r="J18" s="22"/>
      <c r="K18" s="21"/>
      <c r="L18" s="21"/>
      <c r="M18" s="21"/>
      <c r="N18" s="23" t="s">
        <v>5</v>
      </c>
      <c r="O18" s="24" t="s">
        <v>311</v>
      </c>
    </row>
    <row r="19" customFormat="false" ht="32.8" hidden="false" customHeight="false" outlineLevel="0" collapsed="false">
      <c r="A19" s="20" t="n">
        <v>7</v>
      </c>
      <c r="B19" s="20" t="s">
        <v>426</v>
      </c>
      <c r="C19" s="20" t="s">
        <v>302</v>
      </c>
      <c r="D19" s="20" t="s">
        <v>303</v>
      </c>
      <c r="E19" s="20" t="s">
        <v>304</v>
      </c>
      <c r="F19" s="20" t="s">
        <v>427</v>
      </c>
      <c r="G19" s="20" t="s">
        <v>306</v>
      </c>
      <c r="H19" s="20" t="s">
        <v>109</v>
      </c>
      <c r="I19" s="21"/>
      <c r="J19" s="22"/>
      <c r="K19" s="21"/>
      <c r="L19" s="21"/>
      <c r="M19" s="21"/>
      <c r="N19" s="23" t="s">
        <v>5</v>
      </c>
      <c r="O19" s="24" t="s">
        <v>307</v>
      </c>
    </row>
    <row r="20" customFormat="false" ht="32.8" hidden="false" customHeight="false" outlineLevel="0" collapsed="false">
      <c r="A20" s="25" t="n">
        <v>8</v>
      </c>
      <c r="B20" s="25" t="s">
        <v>428</v>
      </c>
      <c r="C20" s="25" t="s">
        <v>302</v>
      </c>
      <c r="D20" s="25" t="s">
        <v>303</v>
      </c>
      <c r="E20" s="25" t="s">
        <v>304</v>
      </c>
      <c r="F20" s="25" t="s">
        <v>429</v>
      </c>
      <c r="G20" s="25" t="s">
        <v>306</v>
      </c>
      <c r="H20" s="25" t="s">
        <v>109</v>
      </c>
      <c r="I20" s="21"/>
      <c r="J20" s="22"/>
      <c r="K20" s="21"/>
      <c r="L20" s="21"/>
      <c r="M20" s="21"/>
      <c r="N20" s="23" t="s">
        <v>5</v>
      </c>
      <c r="O20" s="24" t="s">
        <v>430</v>
      </c>
    </row>
    <row r="21" customFormat="false" ht="43.25" hidden="false" customHeight="false" outlineLevel="0" collapsed="false">
      <c r="A21" s="20" t="n">
        <v>9</v>
      </c>
      <c r="B21" s="20" t="s">
        <v>431</v>
      </c>
      <c r="C21" s="20" t="s">
        <v>302</v>
      </c>
      <c r="D21" s="20" t="s">
        <v>303</v>
      </c>
      <c r="E21" s="20" t="s">
        <v>304</v>
      </c>
      <c r="F21" s="20" t="s">
        <v>432</v>
      </c>
      <c r="G21" s="20" t="s">
        <v>306</v>
      </c>
      <c r="H21" s="20" t="s">
        <v>109</v>
      </c>
      <c r="I21" s="21"/>
      <c r="J21" s="22"/>
      <c r="K21" s="21"/>
      <c r="L21" s="21"/>
      <c r="M21" s="21"/>
      <c r="N21" s="23" t="s">
        <v>5</v>
      </c>
      <c r="O21" s="24" t="s">
        <v>433</v>
      </c>
    </row>
    <row r="22" customFormat="false" ht="43.25" hidden="false" customHeight="false" outlineLevel="0" collapsed="false">
      <c r="A22" s="25" t="n">
        <v>10</v>
      </c>
      <c r="B22" s="25" t="s">
        <v>434</v>
      </c>
      <c r="C22" s="25" t="s">
        <v>302</v>
      </c>
      <c r="D22" s="25" t="s">
        <v>303</v>
      </c>
      <c r="E22" s="25" t="s">
        <v>304</v>
      </c>
      <c r="F22" s="25" t="s">
        <v>435</v>
      </c>
      <c r="G22" s="25" t="s">
        <v>306</v>
      </c>
      <c r="H22" s="25" t="s">
        <v>109</v>
      </c>
      <c r="I22" s="21"/>
      <c r="J22" s="22"/>
      <c r="K22" s="21"/>
      <c r="L22" s="21"/>
      <c r="M22" s="21"/>
      <c r="N22" s="23" t="s">
        <v>5</v>
      </c>
      <c r="O22" s="24" t="s">
        <v>329</v>
      </c>
    </row>
    <row r="23" customFormat="false" ht="43.25" hidden="false" customHeight="false" outlineLevel="0" collapsed="false">
      <c r="A23" s="20" t="n">
        <v>11</v>
      </c>
      <c r="B23" s="20" t="s">
        <v>436</v>
      </c>
      <c r="C23" s="20" t="s">
        <v>302</v>
      </c>
      <c r="D23" s="20" t="s">
        <v>303</v>
      </c>
      <c r="E23" s="20" t="s">
        <v>304</v>
      </c>
      <c r="F23" s="20" t="s">
        <v>437</v>
      </c>
      <c r="G23" s="20" t="s">
        <v>306</v>
      </c>
      <c r="H23" s="20" t="s">
        <v>109</v>
      </c>
      <c r="I23" s="21"/>
      <c r="J23" s="22"/>
      <c r="K23" s="21"/>
      <c r="L23" s="21"/>
      <c r="M23" s="21"/>
      <c r="N23" s="23" t="s">
        <v>5</v>
      </c>
      <c r="O23" s="24" t="s">
        <v>329</v>
      </c>
    </row>
    <row r="24" customFormat="false" ht="43.25" hidden="false" customHeight="false" outlineLevel="0" collapsed="false">
      <c r="A24" s="25" t="n">
        <v>12</v>
      </c>
      <c r="B24" s="25" t="s">
        <v>438</v>
      </c>
      <c r="C24" s="25" t="s">
        <v>302</v>
      </c>
      <c r="D24" s="25" t="s">
        <v>303</v>
      </c>
      <c r="E24" s="25" t="s">
        <v>304</v>
      </c>
      <c r="F24" s="25" t="s">
        <v>439</v>
      </c>
      <c r="G24" s="25" t="s">
        <v>306</v>
      </c>
      <c r="H24" s="25" t="s">
        <v>109</v>
      </c>
      <c r="I24" s="21"/>
      <c r="J24" s="22"/>
      <c r="K24" s="21"/>
      <c r="L24" s="21"/>
      <c r="M24" s="21"/>
      <c r="N24" s="23" t="s">
        <v>5</v>
      </c>
      <c r="O24" s="24" t="s">
        <v>440</v>
      </c>
    </row>
    <row r="25" customFormat="false" ht="43.25" hidden="false" customHeight="false" outlineLevel="0" collapsed="false">
      <c r="A25" s="20" t="n">
        <v>13</v>
      </c>
      <c r="B25" s="20" t="s">
        <v>441</v>
      </c>
      <c r="C25" s="20" t="s">
        <v>302</v>
      </c>
      <c r="D25" s="20" t="s">
        <v>303</v>
      </c>
      <c r="E25" s="20" t="s">
        <v>304</v>
      </c>
      <c r="F25" s="20" t="s">
        <v>442</v>
      </c>
      <c r="G25" s="20" t="s">
        <v>306</v>
      </c>
      <c r="H25" s="20" t="s">
        <v>109</v>
      </c>
      <c r="I25" s="21"/>
      <c r="J25" s="22"/>
      <c r="K25" s="21"/>
      <c r="L25" s="21"/>
      <c r="M25" s="21"/>
      <c r="N25" s="23" t="s">
        <v>5</v>
      </c>
      <c r="O25" s="24" t="s">
        <v>329</v>
      </c>
    </row>
  </sheetData>
  <autoFilter ref="A12:O25"/>
  <mergeCells count="6">
    <mergeCell ref="A1:O1"/>
    <mergeCell ref="I5:O5"/>
    <mergeCell ref="I6:O6"/>
    <mergeCell ref="I7:O7"/>
    <mergeCell ref="I8:O8"/>
    <mergeCell ref="I9:O9"/>
  </mergeCells>
  <conditionalFormatting sqref="K13:K225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25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25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25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443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COUNTA($A$13:$A$14)</f>
        <v>2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C5-COUNTIF($K$13:$K$14,"OK")-COUNTIF($K$13:$K$14,"KO")-COUNTIF($K$13:$K$14,"Bloqué")-COUNTIF($K$13:$K$14,"N/A")</f>
        <v>2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COUNTIF($K$13:$K$14,"OK")</f>
        <v>0</v>
      </c>
      <c r="D7" s="18" t="n">
        <f aca="false">IF($C$5=0,0,C7/$C$5)</f>
        <v>0</v>
      </c>
      <c r="E7" s="16" t="s">
        <v>66</v>
      </c>
      <c r="G7" s="17" t="n">
        <f aca="false">COUNTIFS($K$13:$K$14,"KO",$H$13:$H$14,"Haute")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COUNTIF($K$13:$K$14,"KO")</f>
        <v>0</v>
      </c>
      <c r="D8" s="18" t="n">
        <f aca="false">IF($C$5=0,0,C8/$C$5)</f>
        <v>0</v>
      </c>
      <c r="E8" s="16" t="s">
        <v>68</v>
      </c>
      <c r="G8" s="17" t="str">
        <f aca="false">COUNTIF(N13:N14,"OK")&amp;" / "&amp;COUNTIF(N13:N14,"OK PARTIEL")&amp;" / "&amp;COUNTIF(N13:N14,"KO")&amp;" / "&amp;COUNTIF(N13:N14,"NON EXÉCUTÉ")</f>
        <v>2 / 0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COUNTIF($K$13:$K$14,"Bloqué")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COUNTIF($K$13:$K$14,"N/A")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444</v>
      </c>
      <c r="C13" s="20" t="s">
        <v>302</v>
      </c>
      <c r="D13" s="20" t="s">
        <v>303</v>
      </c>
      <c r="E13" s="20" t="s">
        <v>304</v>
      </c>
      <c r="F13" s="20" t="s">
        <v>445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446</v>
      </c>
    </row>
    <row r="14" customFormat="false" ht="43.25" hidden="false" customHeight="false" outlineLevel="0" collapsed="false">
      <c r="A14" s="25" t="n">
        <v>2</v>
      </c>
      <c r="B14" s="25" t="s">
        <v>447</v>
      </c>
      <c r="C14" s="25" t="s">
        <v>302</v>
      </c>
      <c r="D14" s="25" t="s">
        <v>303</v>
      </c>
      <c r="E14" s="25" t="s">
        <v>304</v>
      </c>
      <c r="F14" s="25" t="s">
        <v>448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449</v>
      </c>
    </row>
  </sheetData>
  <autoFilter ref="A12:O14"/>
  <mergeCells count="6">
    <mergeCell ref="A1:O1"/>
    <mergeCell ref="I5:O5"/>
    <mergeCell ref="I6:O6"/>
    <mergeCell ref="I7:O7"/>
    <mergeCell ref="I8:O8"/>
    <mergeCell ref="I9:O9"/>
  </mergeCells>
  <conditionalFormatting sqref="K13:K214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4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4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4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450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COUNTA($A$13:$A$42)</f>
        <v>30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C5-COUNTIF($K$13:$K$42,"OK")-COUNTIF($K$13:$K$42,"KO")-COUNTIF($K$13:$K$42,"Bloqué")-COUNTIF($K$13:$K$42,"N/A")</f>
        <v>30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COUNTIF($K$13:$K$42,"OK")</f>
        <v>0</v>
      </c>
      <c r="D7" s="18" t="n">
        <f aca="false">IF($C$5=0,0,C7/$C$5)</f>
        <v>0</v>
      </c>
      <c r="E7" s="16" t="s">
        <v>66</v>
      </c>
      <c r="G7" s="17" t="n">
        <f aca="false">COUNTIFS($K$13:$K$42,"KO",$H$13:$H$42,"Haute")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COUNTIF($K$13:$K$42,"KO")</f>
        <v>0</v>
      </c>
      <c r="D8" s="18" t="n">
        <f aca="false">IF($C$5=0,0,C8/$C$5)</f>
        <v>0</v>
      </c>
      <c r="E8" s="16" t="s">
        <v>68</v>
      </c>
      <c r="G8" s="17" t="str">
        <f aca="false">COUNTIF(N13:N42,"OK")&amp;" / "&amp;COUNTIF(N13:N42,"OK PARTIEL")&amp;" / "&amp;COUNTIF(N13:N42,"KO")&amp;" / "&amp;COUNTIF(N13:N42,"NON EXÉCUTÉ")</f>
        <v>27 / 1 / 0 / 2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COUNTIF($K$13:$K$42,"Bloqué")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COUNTIF($K$13:$K$42,"N/A")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32.8" hidden="false" customHeight="false" outlineLevel="0" collapsed="false">
      <c r="A13" s="20" t="n">
        <v>1</v>
      </c>
      <c r="B13" s="20" t="s">
        <v>451</v>
      </c>
      <c r="C13" s="20" t="s">
        <v>87</v>
      </c>
      <c r="D13" s="20" t="s">
        <v>452</v>
      </c>
      <c r="E13" s="20" t="s">
        <v>453</v>
      </c>
      <c r="F13" s="20" t="s">
        <v>454</v>
      </c>
      <c r="G13" s="20" t="s">
        <v>455</v>
      </c>
      <c r="H13" s="20" t="s">
        <v>109</v>
      </c>
      <c r="I13" s="21"/>
      <c r="J13" s="22"/>
      <c r="K13" s="21"/>
      <c r="L13" s="21"/>
      <c r="M13" s="21"/>
      <c r="N13" s="23" t="s">
        <v>114</v>
      </c>
      <c r="O13" s="24" t="s">
        <v>456</v>
      </c>
    </row>
    <row r="14" customFormat="false" ht="22.35" hidden="false" customHeight="false" outlineLevel="0" collapsed="false">
      <c r="A14" s="25" t="n">
        <v>2</v>
      </c>
      <c r="B14" s="25" t="s">
        <v>457</v>
      </c>
      <c r="C14" s="25" t="s">
        <v>87</v>
      </c>
      <c r="D14" s="25" t="s">
        <v>458</v>
      </c>
      <c r="E14" s="25" t="s">
        <v>459</v>
      </c>
      <c r="F14" s="25" t="s">
        <v>460</v>
      </c>
      <c r="G14" s="25" t="s">
        <v>461</v>
      </c>
      <c r="H14" s="25" t="s">
        <v>109</v>
      </c>
      <c r="I14" s="21"/>
      <c r="J14" s="22"/>
      <c r="K14" s="21"/>
      <c r="L14" s="21"/>
      <c r="M14" s="21"/>
      <c r="N14" s="23" t="s">
        <v>5</v>
      </c>
      <c r="O14" s="24" t="s">
        <v>462</v>
      </c>
    </row>
    <row r="15" customFormat="false" ht="22.35" hidden="false" customHeight="false" outlineLevel="0" collapsed="false">
      <c r="A15" s="20" t="n">
        <v>3</v>
      </c>
      <c r="B15" s="20" t="s">
        <v>463</v>
      </c>
      <c r="C15" s="20" t="s">
        <v>87</v>
      </c>
      <c r="D15" s="20" t="s">
        <v>464</v>
      </c>
      <c r="E15" s="20" t="s">
        <v>465</v>
      </c>
      <c r="F15" s="20" t="s">
        <v>466</v>
      </c>
      <c r="G15" s="20" t="s">
        <v>467</v>
      </c>
      <c r="H15" s="20" t="s">
        <v>92</v>
      </c>
      <c r="I15" s="21"/>
      <c r="J15" s="22"/>
      <c r="K15" s="21"/>
      <c r="L15" s="21"/>
      <c r="M15" s="21"/>
      <c r="N15" s="23" t="s">
        <v>187</v>
      </c>
      <c r="O15" s="24" t="s">
        <v>468</v>
      </c>
    </row>
    <row r="16" customFormat="false" ht="22.35" hidden="false" customHeight="false" outlineLevel="0" collapsed="false">
      <c r="A16" s="25" t="n">
        <v>4</v>
      </c>
      <c r="B16" s="25" t="s">
        <v>469</v>
      </c>
      <c r="C16" s="25" t="s">
        <v>87</v>
      </c>
      <c r="D16" s="25" t="s">
        <v>470</v>
      </c>
      <c r="E16" s="25" t="s">
        <v>471</v>
      </c>
      <c r="F16" s="25" t="s">
        <v>472</v>
      </c>
      <c r="G16" s="25" t="s">
        <v>473</v>
      </c>
      <c r="H16" s="25" t="s">
        <v>218</v>
      </c>
      <c r="I16" s="21"/>
      <c r="J16" s="22"/>
      <c r="K16" s="21"/>
      <c r="L16" s="21"/>
      <c r="M16" s="21"/>
      <c r="N16" s="23" t="s">
        <v>5</v>
      </c>
      <c r="O16" s="24" t="s">
        <v>474</v>
      </c>
    </row>
    <row r="17" customFormat="false" ht="22.35" hidden="false" customHeight="false" outlineLevel="0" collapsed="false">
      <c r="A17" s="20" t="n">
        <v>5</v>
      </c>
      <c r="B17" s="20" t="s">
        <v>475</v>
      </c>
      <c r="C17" s="20" t="s">
        <v>87</v>
      </c>
      <c r="D17" s="20" t="s">
        <v>476</v>
      </c>
      <c r="E17" s="20" t="s">
        <v>477</v>
      </c>
      <c r="F17" s="20" t="s">
        <v>478</v>
      </c>
      <c r="G17" s="20" t="s">
        <v>479</v>
      </c>
      <c r="H17" s="20" t="s">
        <v>109</v>
      </c>
      <c r="I17" s="21"/>
      <c r="J17" s="22"/>
      <c r="K17" s="21"/>
      <c r="L17" s="21"/>
      <c r="M17" s="21"/>
      <c r="N17" s="23" t="s">
        <v>187</v>
      </c>
      <c r="O17" s="24" t="s">
        <v>480</v>
      </c>
    </row>
    <row r="18" customFormat="false" ht="43.25" hidden="false" customHeight="false" outlineLevel="0" collapsed="false">
      <c r="A18" s="25" t="n">
        <v>6</v>
      </c>
      <c r="B18" s="25" t="s">
        <v>475</v>
      </c>
      <c r="C18" s="25" t="s">
        <v>302</v>
      </c>
      <c r="D18" s="25" t="s">
        <v>303</v>
      </c>
      <c r="E18" s="25" t="s">
        <v>304</v>
      </c>
      <c r="F18" s="25" t="s">
        <v>481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5</v>
      </c>
      <c r="O18" s="24" t="s">
        <v>482</v>
      </c>
    </row>
    <row r="19" customFormat="false" ht="43.25" hidden="false" customHeight="false" outlineLevel="0" collapsed="false">
      <c r="A19" s="20" t="n">
        <v>7</v>
      </c>
      <c r="B19" s="20" t="s">
        <v>483</v>
      </c>
      <c r="C19" s="20" t="s">
        <v>302</v>
      </c>
      <c r="D19" s="20" t="s">
        <v>303</v>
      </c>
      <c r="E19" s="20" t="s">
        <v>304</v>
      </c>
      <c r="F19" s="20" t="s">
        <v>484</v>
      </c>
      <c r="G19" s="20" t="s">
        <v>306</v>
      </c>
      <c r="H19" s="20" t="s">
        <v>218</v>
      </c>
      <c r="I19" s="21"/>
      <c r="J19" s="22"/>
      <c r="K19" s="21"/>
      <c r="L19" s="21"/>
      <c r="M19" s="21"/>
      <c r="N19" s="23" t="s">
        <v>5</v>
      </c>
      <c r="O19" s="24" t="s">
        <v>422</v>
      </c>
    </row>
    <row r="20" customFormat="false" ht="43.25" hidden="false" customHeight="false" outlineLevel="0" collapsed="false">
      <c r="A20" s="25" t="n">
        <v>8</v>
      </c>
      <c r="B20" s="25" t="s">
        <v>485</v>
      </c>
      <c r="C20" s="25" t="s">
        <v>302</v>
      </c>
      <c r="D20" s="25" t="s">
        <v>303</v>
      </c>
      <c r="E20" s="25" t="s">
        <v>304</v>
      </c>
      <c r="F20" s="25" t="s">
        <v>486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424</v>
      </c>
    </row>
    <row r="21" customFormat="false" ht="43.25" hidden="false" customHeight="false" outlineLevel="0" collapsed="false">
      <c r="A21" s="20" t="n">
        <v>9</v>
      </c>
      <c r="B21" s="20" t="s">
        <v>487</v>
      </c>
      <c r="C21" s="20" t="s">
        <v>302</v>
      </c>
      <c r="D21" s="20" t="s">
        <v>303</v>
      </c>
      <c r="E21" s="20" t="s">
        <v>304</v>
      </c>
      <c r="F21" s="20" t="s">
        <v>488</v>
      </c>
      <c r="G21" s="20" t="s">
        <v>306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489</v>
      </c>
    </row>
    <row r="22" customFormat="false" ht="43.25" hidden="false" customHeight="false" outlineLevel="0" collapsed="false">
      <c r="A22" s="25" t="n">
        <v>10</v>
      </c>
      <c r="B22" s="25" t="s">
        <v>457</v>
      </c>
      <c r="C22" s="25" t="s">
        <v>302</v>
      </c>
      <c r="D22" s="25" t="s">
        <v>303</v>
      </c>
      <c r="E22" s="25" t="s">
        <v>304</v>
      </c>
      <c r="F22" s="25" t="s">
        <v>490</v>
      </c>
      <c r="G22" s="25" t="s">
        <v>306</v>
      </c>
      <c r="H22" s="25" t="s">
        <v>218</v>
      </c>
      <c r="I22" s="21"/>
      <c r="J22" s="22"/>
      <c r="K22" s="21"/>
      <c r="L22" s="21"/>
      <c r="M22" s="21"/>
      <c r="N22" s="23" t="s">
        <v>5</v>
      </c>
      <c r="O22" s="24" t="s">
        <v>331</v>
      </c>
    </row>
    <row r="23" customFormat="false" ht="43.25" hidden="false" customHeight="false" outlineLevel="0" collapsed="false">
      <c r="A23" s="20" t="n">
        <v>11</v>
      </c>
      <c r="B23" s="20" t="s">
        <v>491</v>
      </c>
      <c r="C23" s="20" t="s">
        <v>302</v>
      </c>
      <c r="D23" s="20" t="s">
        <v>303</v>
      </c>
      <c r="E23" s="20" t="s">
        <v>304</v>
      </c>
      <c r="F23" s="20" t="s">
        <v>492</v>
      </c>
      <c r="G23" s="20" t="s">
        <v>306</v>
      </c>
      <c r="H23" s="20" t="s">
        <v>218</v>
      </c>
      <c r="I23" s="21"/>
      <c r="J23" s="22"/>
      <c r="K23" s="21"/>
      <c r="L23" s="21"/>
      <c r="M23" s="21"/>
      <c r="N23" s="23" t="s">
        <v>5</v>
      </c>
      <c r="O23" s="24" t="s">
        <v>493</v>
      </c>
    </row>
    <row r="24" customFormat="false" ht="43.25" hidden="false" customHeight="false" outlineLevel="0" collapsed="false">
      <c r="A24" s="25" t="n">
        <v>12</v>
      </c>
      <c r="B24" s="25" t="s">
        <v>494</v>
      </c>
      <c r="C24" s="25" t="s">
        <v>302</v>
      </c>
      <c r="D24" s="25" t="s">
        <v>303</v>
      </c>
      <c r="E24" s="25" t="s">
        <v>304</v>
      </c>
      <c r="F24" s="25" t="s">
        <v>495</v>
      </c>
      <c r="G24" s="25" t="s">
        <v>306</v>
      </c>
      <c r="H24" s="25" t="s">
        <v>218</v>
      </c>
      <c r="I24" s="21"/>
      <c r="J24" s="22"/>
      <c r="K24" s="21"/>
      <c r="L24" s="21"/>
      <c r="M24" s="21"/>
      <c r="N24" s="23" t="s">
        <v>5</v>
      </c>
      <c r="O24" s="24" t="s">
        <v>307</v>
      </c>
    </row>
    <row r="25" customFormat="false" ht="43.25" hidden="false" customHeight="false" outlineLevel="0" collapsed="false">
      <c r="A25" s="20" t="n">
        <v>13</v>
      </c>
      <c r="B25" s="20" t="s">
        <v>496</v>
      </c>
      <c r="C25" s="20" t="s">
        <v>302</v>
      </c>
      <c r="D25" s="20" t="s">
        <v>303</v>
      </c>
      <c r="E25" s="20" t="s">
        <v>304</v>
      </c>
      <c r="F25" s="20" t="s">
        <v>497</v>
      </c>
      <c r="G25" s="20" t="s">
        <v>306</v>
      </c>
      <c r="H25" s="20" t="s">
        <v>218</v>
      </c>
      <c r="I25" s="21"/>
      <c r="J25" s="22"/>
      <c r="K25" s="21"/>
      <c r="L25" s="21"/>
      <c r="M25" s="21"/>
      <c r="N25" s="23" t="s">
        <v>5</v>
      </c>
      <c r="O25" s="24" t="s">
        <v>489</v>
      </c>
    </row>
    <row r="26" customFormat="false" ht="43.25" hidden="false" customHeight="false" outlineLevel="0" collapsed="false">
      <c r="A26" s="25" t="n">
        <v>14</v>
      </c>
      <c r="B26" s="25" t="s">
        <v>498</v>
      </c>
      <c r="C26" s="25" t="s">
        <v>302</v>
      </c>
      <c r="D26" s="25" t="s">
        <v>303</v>
      </c>
      <c r="E26" s="25" t="s">
        <v>304</v>
      </c>
      <c r="F26" s="25" t="s">
        <v>499</v>
      </c>
      <c r="G26" s="25" t="s">
        <v>306</v>
      </c>
      <c r="H26" s="25" t="s">
        <v>218</v>
      </c>
      <c r="I26" s="21"/>
      <c r="J26" s="22"/>
      <c r="K26" s="21"/>
      <c r="L26" s="21"/>
      <c r="M26" s="21"/>
      <c r="N26" s="23" t="s">
        <v>5</v>
      </c>
      <c r="O26" s="24" t="s">
        <v>500</v>
      </c>
    </row>
    <row r="27" customFormat="false" ht="43.25" hidden="false" customHeight="false" outlineLevel="0" collapsed="false">
      <c r="A27" s="20" t="n">
        <v>15</v>
      </c>
      <c r="B27" s="20" t="s">
        <v>501</v>
      </c>
      <c r="C27" s="20" t="s">
        <v>302</v>
      </c>
      <c r="D27" s="20" t="s">
        <v>303</v>
      </c>
      <c r="E27" s="20" t="s">
        <v>304</v>
      </c>
      <c r="F27" s="20" t="s">
        <v>502</v>
      </c>
      <c r="G27" s="20" t="s">
        <v>306</v>
      </c>
      <c r="H27" s="20" t="s">
        <v>218</v>
      </c>
      <c r="I27" s="21"/>
      <c r="J27" s="22"/>
      <c r="K27" s="21"/>
      <c r="L27" s="21"/>
      <c r="M27" s="21"/>
      <c r="N27" s="23" t="s">
        <v>5</v>
      </c>
      <c r="O27" s="24" t="s">
        <v>329</v>
      </c>
    </row>
    <row r="28" customFormat="false" ht="43.25" hidden="false" customHeight="false" outlineLevel="0" collapsed="false">
      <c r="A28" s="25" t="n">
        <v>16</v>
      </c>
      <c r="B28" s="25" t="s">
        <v>503</v>
      </c>
      <c r="C28" s="25" t="s">
        <v>302</v>
      </c>
      <c r="D28" s="25" t="s">
        <v>303</v>
      </c>
      <c r="E28" s="25" t="s">
        <v>304</v>
      </c>
      <c r="F28" s="25" t="s">
        <v>504</v>
      </c>
      <c r="G28" s="25" t="s">
        <v>306</v>
      </c>
      <c r="H28" s="25" t="s">
        <v>218</v>
      </c>
      <c r="I28" s="21"/>
      <c r="J28" s="22"/>
      <c r="K28" s="21"/>
      <c r="L28" s="21"/>
      <c r="M28" s="21"/>
      <c r="N28" s="23" t="s">
        <v>5</v>
      </c>
      <c r="O28" s="24" t="s">
        <v>424</v>
      </c>
    </row>
    <row r="29" customFormat="false" ht="43.25" hidden="false" customHeight="false" outlineLevel="0" collapsed="false">
      <c r="A29" s="20" t="n">
        <v>17</v>
      </c>
      <c r="B29" s="20" t="s">
        <v>505</v>
      </c>
      <c r="C29" s="20" t="s">
        <v>302</v>
      </c>
      <c r="D29" s="20" t="s">
        <v>303</v>
      </c>
      <c r="E29" s="20" t="s">
        <v>304</v>
      </c>
      <c r="F29" s="20" t="s">
        <v>506</v>
      </c>
      <c r="G29" s="20" t="s">
        <v>306</v>
      </c>
      <c r="H29" s="20" t="s">
        <v>218</v>
      </c>
      <c r="I29" s="21"/>
      <c r="J29" s="22"/>
      <c r="K29" s="21"/>
      <c r="L29" s="21"/>
      <c r="M29" s="21"/>
      <c r="N29" s="23" t="s">
        <v>5</v>
      </c>
      <c r="O29" s="24" t="s">
        <v>489</v>
      </c>
    </row>
    <row r="30" customFormat="false" ht="32.8" hidden="false" customHeight="false" outlineLevel="0" collapsed="false">
      <c r="A30" s="25" t="n">
        <v>18</v>
      </c>
      <c r="B30" s="25" t="s">
        <v>507</v>
      </c>
      <c r="C30" s="25" t="s">
        <v>302</v>
      </c>
      <c r="D30" s="25" t="s">
        <v>303</v>
      </c>
      <c r="E30" s="25" t="s">
        <v>304</v>
      </c>
      <c r="F30" s="25" t="s">
        <v>508</v>
      </c>
      <c r="G30" s="25" t="s">
        <v>306</v>
      </c>
      <c r="H30" s="25" t="s">
        <v>218</v>
      </c>
      <c r="I30" s="21"/>
      <c r="J30" s="22"/>
      <c r="K30" s="21"/>
      <c r="L30" s="21"/>
      <c r="M30" s="21"/>
      <c r="N30" s="23" t="s">
        <v>5</v>
      </c>
      <c r="O30" s="24" t="s">
        <v>392</v>
      </c>
    </row>
    <row r="31" customFormat="false" ht="43.25" hidden="false" customHeight="false" outlineLevel="0" collapsed="false">
      <c r="A31" s="20" t="n">
        <v>19</v>
      </c>
      <c r="B31" s="20" t="s">
        <v>451</v>
      </c>
      <c r="C31" s="20" t="s">
        <v>302</v>
      </c>
      <c r="D31" s="20" t="s">
        <v>303</v>
      </c>
      <c r="E31" s="20" t="s">
        <v>304</v>
      </c>
      <c r="F31" s="20" t="s">
        <v>509</v>
      </c>
      <c r="G31" s="20" t="s">
        <v>306</v>
      </c>
      <c r="H31" s="20" t="s">
        <v>218</v>
      </c>
      <c r="I31" s="21"/>
      <c r="J31" s="22"/>
      <c r="K31" s="21"/>
      <c r="L31" s="21"/>
      <c r="M31" s="21"/>
      <c r="N31" s="23" t="s">
        <v>5</v>
      </c>
      <c r="O31" s="24" t="s">
        <v>493</v>
      </c>
    </row>
    <row r="32" customFormat="false" ht="32.8" hidden="false" customHeight="false" outlineLevel="0" collapsed="false">
      <c r="A32" s="25" t="n">
        <v>20</v>
      </c>
      <c r="B32" s="25" t="s">
        <v>463</v>
      </c>
      <c r="C32" s="25" t="s">
        <v>302</v>
      </c>
      <c r="D32" s="25" t="s">
        <v>303</v>
      </c>
      <c r="E32" s="25" t="s">
        <v>304</v>
      </c>
      <c r="F32" s="25" t="s">
        <v>510</v>
      </c>
      <c r="G32" s="25" t="s">
        <v>306</v>
      </c>
      <c r="H32" s="25" t="s">
        <v>218</v>
      </c>
      <c r="I32" s="21"/>
      <c r="J32" s="22"/>
      <c r="K32" s="21"/>
      <c r="L32" s="21"/>
      <c r="M32" s="21"/>
      <c r="N32" s="23" t="s">
        <v>5</v>
      </c>
      <c r="O32" s="24" t="s">
        <v>511</v>
      </c>
    </row>
    <row r="33" customFormat="false" ht="43.25" hidden="false" customHeight="false" outlineLevel="0" collapsed="false">
      <c r="A33" s="20" t="n">
        <v>21</v>
      </c>
      <c r="B33" s="20" t="s">
        <v>512</v>
      </c>
      <c r="C33" s="20" t="s">
        <v>302</v>
      </c>
      <c r="D33" s="20" t="s">
        <v>303</v>
      </c>
      <c r="E33" s="20" t="s">
        <v>304</v>
      </c>
      <c r="F33" s="20" t="s">
        <v>513</v>
      </c>
      <c r="G33" s="20" t="s">
        <v>306</v>
      </c>
      <c r="H33" s="20" t="s">
        <v>218</v>
      </c>
      <c r="I33" s="21"/>
      <c r="J33" s="22"/>
      <c r="K33" s="21"/>
      <c r="L33" s="21"/>
      <c r="M33" s="21"/>
      <c r="N33" s="23" t="s">
        <v>5</v>
      </c>
      <c r="O33" s="24" t="s">
        <v>433</v>
      </c>
    </row>
    <row r="34" customFormat="false" ht="43.25" hidden="false" customHeight="false" outlineLevel="0" collapsed="false">
      <c r="A34" s="25" t="n">
        <v>22</v>
      </c>
      <c r="B34" s="25" t="s">
        <v>514</v>
      </c>
      <c r="C34" s="25" t="s">
        <v>302</v>
      </c>
      <c r="D34" s="25" t="s">
        <v>303</v>
      </c>
      <c r="E34" s="25" t="s">
        <v>304</v>
      </c>
      <c r="F34" s="25" t="s">
        <v>515</v>
      </c>
      <c r="G34" s="25" t="s">
        <v>306</v>
      </c>
      <c r="H34" s="25" t="s">
        <v>218</v>
      </c>
      <c r="I34" s="21"/>
      <c r="J34" s="22"/>
      <c r="K34" s="21"/>
      <c r="L34" s="21"/>
      <c r="M34" s="21"/>
      <c r="N34" s="23" t="s">
        <v>5</v>
      </c>
      <c r="O34" s="24" t="s">
        <v>329</v>
      </c>
    </row>
    <row r="35" customFormat="false" ht="43.25" hidden="false" customHeight="false" outlineLevel="0" collapsed="false">
      <c r="A35" s="20" t="n">
        <v>23</v>
      </c>
      <c r="B35" s="20" t="s">
        <v>469</v>
      </c>
      <c r="C35" s="20" t="s">
        <v>302</v>
      </c>
      <c r="D35" s="20" t="s">
        <v>303</v>
      </c>
      <c r="E35" s="20" t="s">
        <v>304</v>
      </c>
      <c r="F35" s="20" t="s">
        <v>516</v>
      </c>
      <c r="G35" s="20" t="s">
        <v>306</v>
      </c>
      <c r="H35" s="20" t="s">
        <v>218</v>
      </c>
      <c r="I35" s="21"/>
      <c r="J35" s="22"/>
      <c r="K35" s="21"/>
      <c r="L35" s="21"/>
      <c r="M35" s="21"/>
      <c r="N35" s="23" t="s">
        <v>5</v>
      </c>
      <c r="O35" s="24" t="s">
        <v>392</v>
      </c>
    </row>
    <row r="36" customFormat="false" ht="43.25" hidden="false" customHeight="false" outlineLevel="0" collapsed="false">
      <c r="A36" s="25" t="n">
        <v>24</v>
      </c>
      <c r="B36" s="25" t="s">
        <v>517</v>
      </c>
      <c r="C36" s="25" t="s">
        <v>302</v>
      </c>
      <c r="D36" s="25" t="s">
        <v>303</v>
      </c>
      <c r="E36" s="25" t="s">
        <v>304</v>
      </c>
      <c r="F36" s="25" t="s">
        <v>518</v>
      </c>
      <c r="G36" s="25" t="s">
        <v>306</v>
      </c>
      <c r="H36" s="25" t="s">
        <v>218</v>
      </c>
      <c r="I36" s="21"/>
      <c r="J36" s="22"/>
      <c r="K36" s="21"/>
      <c r="L36" s="21"/>
      <c r="M36" s="21"/>
      <c r="N36" s="23" t="s">
        <v>5</v>
      </c>
      <c r="O36" s="24" t="s">
        <v>326</v>
      </c>
    </row>
    <row r="37" customFormat="false" ht="43.25" hidden="false" customHeight="false" outlineLevel="0" collapsed="false">
      <c r="A37" s="20" t="n">
        <v>25</v>
      </c>
      <c r="B37" s="20" t="s">
        <v>519</v>
      </c>
      <c r="C37" s="20" t="s">
        <v>302</v>
      </c>
      <c r="D37" s="20" t="s">
        <v>303</v>
      </c>
      <c r="E37" s="20" t="s">
        <v>304</v>
      </c>
      <c r="F37" s="20" t="s">
        <v>520</v>
      </c>
      <c r="G37" s="20" t="s">
        <v>306</v>
      </c>
      <c r="H37" s="20" t="s">
        <v>218</v>
      </c>
      <c r="I37" s="21"/>
      <c r="J37" s="22"/>
      <c r="K37" s="21"/>
      <c r="L37" s="21"/>
      <c r="M37" s="21"/>
      <c r="N37" s="23" t="s">
        <v>5</v>
      </c>
      <c r="O37" s="24" t="s">
        <v>392</v>
      </c>
    </row>
    <row r="38" customFormat="false" ht="43.25" hidden="false" customHeight="false" outlineLevel="0" collapsed="false">
      <c r="A38" s="25" t="n">
        <v>26</v>
      </c>
      <c r="B38" s="25" t="s">
        <v>521</v>
      </c>
      <c r="C38" s="25" t="s">
        <v>302</v>
      </c>
      <c r="D38" s="25" t="s">
        <v>303</v>
      </c>
      <c r="E38" s="25" t="s">
        <v>304</v>
      </c>
      <c r="F38" s="25" t="s">
        <v>522</v>
      </c>
      <c r="G38" s="25" t="s">
        <v>306</v>
      </c>
      <c r="H38" s="25" t="s">
        <v>218</v>
      </c>
      <c r="I38" s="21"/>
      <c r="J38" s="22"/>
      <c r="K38" s="21"/>
      <c r="L38" s="21"/>
      <c r="M38" s="21"/>
      <c r="N38" s="23" t="s">
        <v>5</v>
      </c>
      <c r="O38" s="24" t="s">
        <v>311</v>
      </c>
    </row>
    <row r="39" customFormat="false" ht="43.25" hidden="false" customHeight="false" outlineLevel="0" collapsed="false">
      <c r="A39" s="20" t="n">
        <v>27</v>
      </c>
      <c r="B39" s="20" t="s">
        <v>523</v>
      </c>
      <c r="C39" s="20" t="s">
        <v>302</v>
      </c>
      <c r="D39" s="20" t="s">
        <v>303</v>
      </c>
      <c r="E39" s="20" t="s">
        <v>304</v>
      </c>
      <c r="F39" s="20" t="s">
        <v>524</v>
      </c>
      <c r="G39" s="20" t="s">
        <v>306</v>
      </c>
      <c r="H39" s="20" t="s">
        <v>218</v>
      </c>
      <c r="I39" s="21"/>
      <c r="J39" s="22"/>
      <c r="K39" s="21"/>
      <c r="L39" s="21"/>
      <c r="M39" s="21"/>
      <c r="N39" s="23" t="s">
        <v>5</v>
      </c>
      <c r="O39" s="24" t="s">
        <v>422</v>
      </c>
    </row>
    <row r="40" customFormat="false" ht="43.25" hidden="false" customHeight="false" outlineLevel="0" collapsed="false">
      <c r="A40" s="25" t="n">
        <v>28</v>
      </c>
      <c r="B40" s="25" t="s">
        <v>525</v>
      </c>
      <c r="C40" s="25" t="s">
        <v>302</v>
      </c>
      <c r="D40" s="25" t="s">
        <v>303</v>
      </c>
      <c r="E40" s="25" t="s">
        <v>304</v>
      </c>
      <c r="F40" s="25" t="s">
        <v>526</v>
      </c>
      <c r="G40" s="25" t="s">
        <v>306</v>
      </c>
      <c r="H40" s="25" t="s">
        <v>218</v>
      </c>
      <c r="I40" s="21"/>
      <c r="J40" s="22"/>
      <c r="K40" s="21"/>
      <c r="L40" s="21"/>
      <c r="M40" s="21"/>
      <c r="N40" s="23" t="s">
        <v>5</v>
      </c>
      <c r="O40" s="24" t="s">
        <v>329</v>
      </c>
    </row>
    <row r="41" customFormat="false" ht="43.25" hidden="false" customHeight="false" outlineLevel="0" collapsed="false">
      <c r="A41" s="20" t="n">
        <v>29</v>
      </c>
      <c r="B41" s="20" t="s">
        <v>527</v>
      </c>
      <c r="C41" s="20" t="s">
        <v>302</v>
      </c>
      <c r="D41" s="20" t="s">
        <v>303</v>
      </c>
      <c r="E41" s="20" t="s">
        <v>304</v>
      </c>
      <c r="F41" s="20" t="s">
        <v>528</v>
      </c>
      <c r="G41" s="20" t="s">
        <v>306</v>
      </c>
      <c r="H41" s="20" t="s">
        <v>218</v>
      </c>
      <c r="I41" s="21"/>
      <c r="J41" s="22"/>
      <c r="K41" s="21"/>
      <c r="L41" s="21"/>
      <c r="M41" s="21"/>
      <c r="N41" s="23" t="s">
        <v>5</v>
      </c>
      <c r="O41" s="24" t="s">
        <v>307</v>
      </c>
    </row>
    <row r="42" customFormat="false" ht="43.25" hidden="false" customHeight="false" outlineLevel="0" collapsed="false">
      <c r="A42" s="25" t="n">
        <v>30</v>
      </c>
      <c r="B42" s="25" t="s">
        <v>529</v>
      </c>
      <c r="C42" s="25" t="s">
        <v>302</v>
      </c>
      <c r="D42" s="25" t="s">
        <v>303</v>
      </c>
      <c r="E42" s="25" t="s">
        <v>304</v>
      </c>
      <c r="F42" s="25" t="s">
        <v>530</v>
      </c>
      <c r="G42" s="25" t="s">
        <v>306</v>
      </c>
      <c r="H42" s="25" t="s">
        <v>218</v>
      </c>
      <c r="I42" s="21"/>
      <c r="J42" s="22"/>
      <c r="K42" s="21"/>
      <c r="L42" s="21"/>
      <c r="M42" s="21"/>
      <c r="N42" s="23" t="s">
        <v>5</v>
      </c>
      <c r="O42" s="24" t="s">
        <v>311</v>
      </c>
    </row>
  </sheetData>
  <autoFilter ref="A12:O42"/>
  <mergeCells count="6">
    <mergeCell ref="A1:O1"/>
    <mergeCell ref="I5:O5"/>
    <mergeCell ref="I6:O6"/>
    <mergeCell ref="I7:O7"/>
    <mergeCell ref="I8:O8"/>
    <mergeCell ref="I9:O9"/>
  </mergeCells>
  <conditionalFormatting sqref="K13:K242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42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42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42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531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COUNTA($A$13:$A$16)</f>
        <v>4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C5-COUNTIF($K$13:$K$16,"OK")-COUNTIF($K$13:$K$16,"KO")-COUNTIF($K$13:$K$16,"Bloqué")-COUNTIF($K$13:$K$16,"N/A")</f>
        <v>4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COUNTIF($K$13:$K$16,"OK")</f>
        <v>0</v>
      </c>
      <c r="D7" s="18" t="n">
        <f aca="false">IF($C$5=0,0,C7/$C$5)</f>
        <v>0</v>
      </c>
      <c r="E7" s="16" t="s">
        <v>66</v>
      </c>
      <c r="G7" s="17" t="n">
        <f aca="false">COUNTIFS($K$13:$K$16,"KO",$H$13:$H$16,"Haute")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COUNTIF($K$13:$K$16,"KO")</f>
        <v>0</v>
      </c>
      <c r="D8" s="18" t="n">
        <f aca="false">IF($C$5=0,0,C8/$C$5)</f>
        <v>0</v>
      </c>
      <c r="E8" s="16" t="s">
        <v>68</v>
      </c>
      <c r="G8" s="17" t="str">
        <f aca="false">COUNTIF(N13:N16,"OK")&amp;" / "&amp;COUNTIF(N13:N16,"OK PARTIEL")&amp;" / "&amp;COUNTIF(N13:N16,"KO")&amp;" / "&amp;COUNTIF(N13:N16,"NON EXÉCUTÉ")</f>
        <v>4 / 0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COUNTIF($K$13:$K$16,"Bloqué")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COUNTIF($K$13:$K$16,"N/A")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532</v>
      </c>
      <c r="C13" s="20" t="s">
        <v>302</v>
      </c>
      <c r="D13" s="20" t="s">
        <v>303</v>
      </c>
      <c r="E13" s="20" t="s">
        <v>304</v>
      </c>
      <c r="F13" s="20" t="s">
        <v>533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534</v>
      </c>
    </row>
    <row r="14" customFormat="false" ht="43.25" hidden="false" customHeight="false" outlineLevel="0" collapsed="false">
      <c r="A14" s="25" t="n">
        <v>2</v>
      </c>
      <c r="B14" s="25" t="s">
        <v>535</v>
      </c>
      <c r="C14" s="25" t="s">
        <v>302</v>
      </c>
      <c r="D14" s="25" t="s">
        <v>303</v>
      </c>
      <c r="E14" s="25" t="s">
        <v>304</v>
      </c>
      <c r="F14" s="25" t="s">
        <v>536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537</v>
      </c>
    </row>
    <row r="15" customFormat="false" ht="43.25" hidden="false" customHeight="false" outlineLevel="0" collapsed="false">
      <c r="A15" s="20" t="n">
        <v>3</v>
      </c>
      <c r="B15" s="20" t="s">
        <v>538</v>
      </c>
      <c r="C15" s="20" t="s">
        <v>302</v>
      </c>
      <c r="D15" s="20" t="s">
        <v>303</v>
      </c>
      <c r="E15" s="20" t="s">
        <v>304</v>
      </c>
      <c r="F15" s="20" t="s">
        <v>539</v>
      </c>
      <c r="G15" s="20" t="s">
        <v>306</v>
      </c>
      <c r="H15" s="20" t="s">
        <v>218</v>
      </c>
      <c r="I15" s="21"/>
      <c r="J15" s="22"/>
      <c r="K15" s="21"/>
      <c r="L15" s="21"/>
      <c r="M15" s="21"/>
      <c r="N15" s="23" t="s">
        <v>5</v>
      </c>
      <c r="O15" s="24" t="s">
        <v>446</v>
      </c>
    </row>
    <row r="16" customFormat="false" ht="43.25" hidden="false" customHeight="false" outlineLevel="0" collapsed="false">
      <c r="A16" s="25" t="n">
        <v>4</v>
      </c>
      <c r="B16" s="25" t="s">
        <v>540</v>
      </c>
      <c r="C16" s="25" t="s">
        <v>302</v>
      </c>
      <c r="D16" s="25" t="s">
        <v>303</v>
      </c>
      <c r="E16" s="25" t="s">
        <v>304</v>
      </c>
      <c r="F16" s="25" t="s">
        <v>541</v>
      </c>
      <c r="G16" s="25" t="s">
        <v>306</v>
      </c>
      <c r="H16" s="25" t="s">
        <v>218</v>
      </c>
      <c r="I16" s="21"/>
      <c r="J16" s="22"/>
      <c r="K16" s="21"/>
      <c r="L16" s="21"/>
      <c r="M16" s="21"/>
      <c r="N16" s="23" t="s">
        <v>5</v>
      </c>
      <c r="O16" s="24" t="s">
        <v>537</v>
      </c>
    </row>
  </sheetData>
  <autoFilter ref="A12:O16"/>
  <mergeCells count="6">
    <mergeCell ref="A1:O1"/>
    <mergeCell ref="I5:O5"/>
    <mergeCell ref="I6:O6"/>
    <mergeCell ref="I7:O7"/>
    <mergeCell ref="I8:O8"/>
    <mergeCell ref="I9:O9"/>
  </mergeCells>
  <conditionalFormatting sqref="K13:K216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6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6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6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542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COUNTA($A$13:$A$42)</f>
        <v>30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C5-COUNTIF($K$13:$K$42,"OK")-COUNTIF($K$13:$K$42,"KO")-COUNTIF($K$13:$K$42,"Bloqué")-COUNTIF($K$13:$K$42,"N/A")</f>
        <v>30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COUNTIF($K$13:$K$42,"OK")</f>
        <v>0</v>
      </c>
      <c r="D7" s="18" t="n">
        <f aca="false">IF($C$5=0,0,C7/$C$5)</f>
        <v>0</v>
      </c>
      <c r="E7" s="16" t="s">
        <v>66</v>
      </c>
      <c r="G7" s="17" t="n">
        <f aca="false">COUNTIFS($K$13:$K$42,"KO",$H$13:$H$42,"Haute")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COUNTIF($K$13:$K$42,"KO")</f>
        <v>0</v>
      </c>
      <c r="D8" s="18" t="n">
        <f aca="false">IF($C$5=0,0,C8/$C$5)</f>
        <v>0</v>
      </c>
      <c r="E8" s="16" t="s">
        <v>68</v>
      </c>
      <c r="G8" s="17" t="str">
        <f aca="false">COUNTIF(N13:N42,"OK")&amp;" / "&amp;COUNTIF(N13:N42,"OK PARTIEL")&amp;" / "&amp;COUNTIF(N13:N42,"KO")&amp;" / "&amp;COUNTIF(N13:N42,"NON EXÉCUTÉ")</f>
        <v>24 / 1 / 0 / 5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COUNTIF($K$13:$K$42,"Bloqué")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COUNTIF($K$13:$K$42,"N/A")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543</v>
      </c>
      <c r="C13" s="20" t="s">
        <v>87</v>
      </c>
      <c r="D13" s="20" t="s">
        <v>544</v>
      </c>
      <c r="E13" s="20" t="s">
        <v>545</v>
      </c>
      <c r="F13" s="20" t="s">
        <v>546</v>
      </c>
      <c r="G13" s="20" t="s">
        <v>547</v>
      </c>
      <c r="H13" s="20" t="s">
        <v>92</v>
      </c>
      <c r="I13" s="21"/>
      <c r="J13" s="22"/>
      <c r="K13" s="21"/>
      <c r="L13" s="21"/>
      <c r="M13" s="21"/>
      <c r="N13" s="23" t="s">
        <v>5</v>
      </c>
      <c r="O13" s="24" t="s">
        <v>548</v>
      </c>
    </row>
    <row r="14" customFormat="false" ht="32.8" hidden="false" customHeight="false" outlineLevel="0" collapsed="false">
      <c r="A14" s="25" t="n">
        <v>2</v>
      </c>
      <c r="B14" s="25" t="s">
        <v>549</v>
      </c>
      <c r="C14" s="25" t="s">
        <v>87</v>
      </c>
      <c r="D14" s="25" t="s">
        <v>550</v>
      </c>
      <c r="E14" s="25" t="s">
        <v>551</v>
      </c>
      <c r="F14" s="25" t="s">
        <v>552</v>
      </c>
      <c r="G14" s="25" t="s">
        <v>553</v>
      </c>
      <c r="H14" s="25" t="s">
        <v>92</v>
      </c>
      <c r="I14" s="21"/>
      <c r="J14" s="22"/>
      <c r="K14" s="21"/>
      <c r="L14" s="21"/>
      <c r="M14" s="21"/>
      <c r="N14" s="23" t="s">
        <v>114</v>
      </c>
      <c r="O14" s="24" t="s">
        <v>554</v>
      </c>
    </row>
    <row r="15" customFormat="false" ht="22.35" hidden="false" customHeight="false" outlineLevel="0" collapsed="false">
      <c r="A15" s="20" t="n">
        <v>3</v>
      </c>
      <c r="B15" s="20" t="s">
        <v>555</v>
      </c>
      <c r="C15" s="20" t="s">
        <v>87</v>
      </c>
      <c r="D15" s="20" t="s">
        <v>556</v>
      </c>
      <c r="E15" s="20" t="s">
        <v>557</v>
      </c>
      <c r="F15" s="20" t="s">
        <v>558</v>
      </c>
      <c r="G15" s="20" t="s">
        <v>559</v>
      </c>
      <c r="H15" s="20" t="s">
        <v>92</v>
      </c>
      <c r="I15" s="21"/>
      <c r="J15" s="22"/>
      <c r="K15" s="21"/>
      <c r="L15" s="21"/>
      <c r="M15" s="21"/>
      <c r="N15" s="23" t="s">
        <v>5</v>
      </c>
      <c r="O15" s="24" t="s">
        <v>560</v>
      </c>
    </row>
    <row r="16" customFormat="false" ht="15" hidden="false" customHeight="false" outlineLevel="0" collapsed="false">
      <c r="A16" s="25" t="n">
        <v>4</v>
      </c>
      <c r="B16" s="25" t="s">
        <v>555</v>
      </c>
      <c r="C16" s="25" t="s">
        <v>175</v>
      </c>
      <c r="D16" s="25" t="s">
        <v>561</v>
      </c>
      <c r="E16" s="25" t="s">
        <v>562</v>
      </c>
      <c r="F16" s="25" t="s">
        <v>563</v>
      </c>
      <c r="G16" s="25" t="s">
        <v>564</v>
      </c>
      <c r="H16" s="25" t="s">
        <v>109</v>
      </c>
      <c r="I16" s="21"/>
      <c r="J16" s="22"/>
      <c r="K16" s="21"/>
      <c r="L16" s="21"/>
      <c r="M16" s="21"/>
      <c r="N16" s="23" t="s">
        <v>5</v>
      </c>
      <c r="O16" s="24" t="s">
        <v>565</v>
      </c>
    </row>
    <row r="17" customFormat="false" ht="15" hidden="false" customHeight="false" outlineLevel="0" collapsed="false">
      <c r="A17" s="20" t="n">
        <v>5</v>
      </c>
      <c r="B17" s="20" t="s">
        <v>555</v>
      </c>
      <c r="C17" s="20" t="s">
        <v>87</v>
      </c>
      <c r="D17" s="20" t="s">
        <v>566</v>
      </c>
      <c r="E17" s="20" t="s">
        <v>567</v>
      </c>
      <c r="F17" s="20" t="s">
        <v>568</v>
      </c>
      <c r="G17" s="20" t="s">
        <v>569</v>
      </c>
      <c r="H17" s="20" t="s">
        <v>109</v>
      </c>
      <c r="I17" s="21"/>
      <c r="J17" s="22"/>
      <c r="K17" s="21"/>
      <c r="L17" s="21"/>
      <c r="M17" s="21"/>
      <c r="N17" s="23" t="s">
        <v>5</v>
      </c>
      <c r="O17" s="24" t="s">
        <v>570</v>
      </c>
    </row>
    <row r="18" customFormat="false" ht="22.35" hidden="false" customHeight="false" outlineLevel="0" collapsed="false">
      <c r="A18" s="25" t="n">
        <v>6</v>
      </c>
      <c r="B18" s="25" t="s">
        <v>571</v>
      </c>
      <c r="C18" s="25" t="s">
        <v>87</v>
      </c>
      <c r="D18" s="25" t="s">
        <v>572</v>
      </c>
      <c r="E18" s="25" t="s">
        <v>573</v>
      </c>
      <c r="F18" s="25" t="s">
        <v>574</v>
      </c>
      <c r="G18" s="25" t="s">
        <v>575</v>
      </c>
      <c r="H18" s="25" t="s">
        <v>109</v>
      </c>
      <c r="I18" s="21"/>
      <c r="J18" s="22"/>
      <c r="K18" s="21"/>
      <c r="L18" s="21"/>
      <c r="M18" s="21"/>
      <c r="N18" s="23" t="s">
        <v>5</v>
      </c>
      <c r="O18" s="24" t="s">
        <v>576</v>
      </c>
    </row>
    <row r="19" customFormat="false" ht="22.35" hidden="false" customHeight="false" outlineLevel="0" collapsed="false">
      <c r="A19" s="20" t="n">
        <v>7</v>
      </c>
      <c r="B19" s="20" t="s">
        <v>577</v>
      </c>
      <c r="C19" s="20" t="s">
        <v>87</v>
      </c>
      <c r="D19" s="20" t="s">
        <v>578</v>
      </c>
      <c r="E19" s="20" t="s">
        <v>579</v>
      </c>
      <c r="F19" s="20" t="s">
        <v>580</v>
      </c>
      <c r="G19" s="20" t="s">
        <v>581</v>
      </c>
      <c r="H19" s="20" t="s">
        <v>109</v>
      </c>
      <c r="I19" s="21"/>
      <c r="J19" s="22"/>
      <c r="K19" s="21"/>
      <c r="L19" s="21"/>
      <c r="M19" s="21"/>
      <c r="N19" s="23" t="s">
        <v>5</v>
      </c>
      <c r="O19" s="24" t="s">
        <v>582</v>
      </c>
    </row>
    <row r="20" customFormat="false" ht="22.35" hidden="false" customHeight="false" outlineLevel="0" collapsed="false">
      <c r="A20" s="25" t="n">
        <v>8</v>
      </c>
      <c r="B20" s="25" t="s">
        <v>583</v>
      </c>
      <c r="C20" s="25" t="s">
        <v>87</v>
      </c>
      <c r="D20" s="25" t="s">
        <v>584</v>
      </c>
      <c r="E20" s="25" t="s">
        <v>585</v>
      </c>
      <c r="F20" s="25" t="s">
        <v>586</v>
      </c>
      <c r="G20" s="25" t="s">
        <v>587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588</v>
      </c>
    </row>
    <row r="21" customFormat="false" ht="15" hidden="false" customHeight="false" outlineLevel="0" collapsed="false">
      <c r="A21" s="20" t="n">
        <v>9</v>
      </c>
      <c r="B21" s="20" t="s">
        <v>589</v>
      </c>
      <c r="C21" s="20" t="s">
        <v>87</v>
      </c>
      <c r="D21" s="20" t="s">
        <v>590</v>
      </c>
      <c r="E21" s="20" t="s">
        <v>591</v>
      </c>
      <c r="F21" s="20" t="s">
        <v>592</v>
      </c>
      <c r="G21" s="20" t="s">
        <v>593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594</v>
      </c>
    </row>
    <row r="22" customFormat="false" ht="43.25" hidden="false" customHeight="false" outlineLevel="0" collapsed="false">
      <c r="A22" s="25" t="n">
        <v>10</v>
      </c>
      <c r="B22" s="25" t="s">
        <v>543</v>
      </c>
      <c r="C22" s="25" t="s">
        <v>302</v>
      </c>
      <c r="D22" s="25" t="s">
        <v>303</v>
      </c>
      <c r="E22" s="25" t="s">
        <v>304</v>
      </c>
      <c r="F22" s="25" t="s">
        <v>595</v>
      </c>
      <c r="G22" s="25" t="s">
        <v>306</v>
      </c>
      <c r="H22" s="25" t="s">
        <v>109</v>
      </c>
      <c r="I22" s="21"/>
      <c r="J22" s="22"/>
      <c r="K22" s="21"/>
      <c r="L22" s="21"/>
      <c r="M22" s="21"/>
      <c r="N22" s="23" t="s">
        <v>5</v>
      </c>
      <c r="O22" s="24" t="s">
        <v>392</v>
      </c>
    </row>
    <row r="23" customFormat="false" ht="32.8" hidden="false" customHeight="false" outlineLevel="0" collapsed="false">
      <c r="A23" s="20" t="n">
        <v>11</v>
      </c>
      <c r="B23" s="20" t="s">
        <v>596</v>
      </c>
      <c r="C23" s="20" t="s">
        <v>302</v>
      </c>
      <c r="D23" s="20" t="s">
        <v>303</v>
      </c>
      <c r="E23" s="20" t="s">
        <v>304</v>
      </c>
      <c r="F23" s="20" t="s">
        <v>597</v>
      </c>
      <c r="G23" s="20" t="s">
        <v>306</v>
      </c>
      <c r="H23" s="20" t="s">
        <v>109</v>
      </c>
      <c r="I23" s="21"/>
      <c r="J23" s="22"/>
      <c r="K23" s="21"/>
      <c r="L23" s="21"/>
      <c r="M23" s="21"/>
      <c r="N23" s="23" t="s">
        <v>5</v>
      </c>
      <c r="O23" s="24" t="s">
        <v>311</v>
      </c>
    </row>
    <row r="24" customFormat="false" ht="43.25" hidden="false" customHeight="false" outlineLevel="0" collapsed="false">
      <c r="A24" s="25" t="n">
        <v>12</v>
      </c>
      <c r="B24" s="25" t="s">
        <v>589</v>
      </c>
      <c r="C24" s="25" t="s">
        <v>302</v>
      </c>
      <c r="D24" s="25" t="s">
        <v>303</v>
      </c>
      <c r="E24" s="25" t="s">
        <v>304</v>
      </c>
      <c r="F24" s="25" t="s">
        <v>598</v>
      </c>
      <c r="G24" s="25" t="s">
        <v>306</v>
      </c>
      <c r="H24" s="25" t="s">
        <v>109</v>
      </c>
      <c r="I24" s="21"/>
      <c r="J24" s="22"/>
      <c r="K24" s="21"/>
      <c r="L24" s="21"/>
      <c r="M24" s="21"/>
      <c r="N24" s="23" t="s">
        <v>5</v>
      </c>
      <c r="O24" s="24" t="s">
        <v>316</v>
      </c>
    </row>
    <row r="25" customFormat="false" ht="43.25" hidden="false" customHeight="false" outlineLevel="0" collapsed="false">
      <c r="A25" s="20" t="n">
        <v>13</v>
      </c>
      <c r="B25" s="20" t="s">
        <v>549</v>
      </c>
      <c r="C25" s="20" t="s">
        <v>302</v>
      </c>
      <c r="D25" s="20" t="s">
        <v>303</v>
      </c>
      <c r="E25" s="20" t="s">
        <v>304</v>
      </c>
      <c r="F25" s="20" t="s">
        <v>599</v>
      </c>
      <c r="G25" s="20" t="s">
        <v>306</v>
      </c>
      <c r="H25" s="20" t="s">
        <v>109</v>
      </c>
      <c r="I25" s="21"/>
      <c r="J25" s="22"/>
      <c r="K25" s="21"/>
      <c r="L25" s="21"/>
      <c r="M25" s="21"/>
      <c r="N25" s="23" t="s">
        <v>5</v>
      </c>
      <c r="O25" s="24" t="s">
        <v>311</v>
      </c>
    </row>
    <row r="26" customFormat="false" ht="43.25" hidden="false" customHeight="false" outlineLevel="0" collapsed="false">
      <c r="A26" s="25" t="n">
        <v>14</v>
      </c>
      <c r="B26" s="25" t="s">
        <v>600</v>
      </c>
      <c r="C26" s="25" t="s">
        <v>302</v>
      </c>
      <c r="D26" s="25" t="s">
        <v>303</v>
      </c>
      <c r="E26" s="25" t="s">
        <v>304</v>
      </c>
      <c r="F26" s="25" t="s">
        <v>601</v>
      </c>
      <c r="G26" s="25" t="s">
        <v>306</v>
      </c>
      <c r="H26" s="25" t="s">
        <v>109</v>
      </c>
      <c r="I26" s="21"/>
      <c r="J26" s="22"/>
      <c r="K26" s="21"/>
      <c r="L26" s="21"/>
      <c r="M26" s="21"/>
      <c r="N26" s="23" t="s">
        <v>5</v>
      </c>
      <c r="O26" s="24" t="s">
        <v>433</v>
      </c>
    </row>
    <row r="27" customFormat="false" ht="43.25" hidden="false" customHeight="false" outlineLevel="0" collapsed="false">
      <c r="A27" s="20" t="n">
        <v>15</v>
      </c>
      <c r="B27" s="20" t="s">
        <v>602</v>
      </c>
      <c r="C27" s="20" t="s">
        <v>302</v>
      </c>
      <c r="D27" s="20" t="s">
        <v>303</v>
      </c>
      <c r="E27" s="20" t="s">
        <v>304</v>
      </c>
      <c r="F27" s="20" t="s">
        <v>603</v>
      </c>
      <c r="G27" s="20" t="s">
        <v>306</v>
      </c>
      <c r="H27" s="20" t="s">
        <v>109</v>
      </c>
      <c r="I27" s="21"/>
      <c r="J27" s="22"/>
      <c r="K27" s="21"/>
      <c r="L27" s="21"/>
      <c r="M27" s="21"/>
      <c r="N27" s="23" t="s">
        <v>187</v>
      </c>
      <c r="O27" s="24" t="s">
        <v>387</v>
      </c>
    </row>
    <row r="28" customFormat="false" ht="43.25" hidden="false" customHeight="false" outlineLevel="0" collapsed="false">
      <c r="A28" s="25" t="n">
        <v>16</v>
      </c>
      <c r="B28" s="25" t="s">
        <v>604</v>
      </c>
      <c r="C28" s="25" t="s">
        <v>302</v>
      </c>
      <c r="D28" s="25" t="s">
        <v>303</v>
      </c>
      <c r="E28" s="25" t="s">
        <v>304</v>
      </c>
      <c r="F28" s="25" t="s">
        <v>605</v>
      </c>
      <c r="G28" s="25" t="s">
        <v>306</v>
      </c>
      <c r="H28" s="25" t="s">
        <v>109</v>
      </c>
      <c r="I28" s="21"/>
      <c r="J28" s="22"/>
      <c r="K28" s="21"/>
      <c r="L28" s="21"/>
      <c r="M28" s="21"/>
      <c r="N28" s="23" t="s">
        <v>187</v>
      </c>
      <c r="O28" s="24" t="s">
        <v>387</v>
      </c>
    </row>
    <row r="29" customFormat="false" ht="43.25" hidden="false" customHeight="false" outlineLevel="0" collapsed="false">
      <c r="A29" s="20" t="n">
        <v>17</v>
      </c>
      <c r="B29" s="20" t="s">
        <v>606</v>
      </c>
      <c r="C29" s="20" t="s">
        <v>302</v>
      </c>
      <c r="D29" s="20" t="s">
        <v>303</v>
      </c>
      <c r="E29" s="20" t="s">
        <v>304</v>
      </c>
      <c r="F29" s="20" t="s">
        <v>607</v>
      </c>
      <c r="G29" s="20" t="s">
        <v>306</v>
      </c>
      <c r="H29" s="20" t="s">
        <v>109</v>
      </c>
      <c r="I29" s="21"/>
      <c r="J29" s="22"/>
      <c r="K29" s="21"/>
      <c r="L29" s="21"/>
      <c r="M29" s="21"/>
      <c r="N29" s="23" t="s">
        <v>5</v>
      </c>
      <c r="O29" s="24" t="s">
        <v>379</v>
      </c>
    </row>
    <row r="30" customFormat="false" ht="43.25" hidden="false" customHeight="false" outlineLevel="0" collapsed="false">
      <c r="A30" s="25" t="n">
        <v>18</v>
      </c>
      <c r="B30" s="25" t="s">
        <v>555</v>
      </c>
      <c r="C30" s="25" t="s">
        <v>302</v>
      </c>
      <c r="D30" s="25" t="s">
        <v>303</v>
      </c>
      <c r="E30" s="25" t="s">
        <v>304</v>
      </c>
      <c r="F30" s="25" t="s">
        <v>608</v>
      </c>
      <c r="G30" s="25" t="s">
        <v>306</v>
      </c>
      <c r="H30" s="25" t="s">
        <v>109</v>
      </c>
      <c r="I30" s="21"/>
      <c r="J30" s="22"/>
      <c r="K30" s="21"/>
      <c r="L30" s="21"/>
      <c r="M30" s="21"/>
      <c r="N30" s="23" t="s">
        <v>5</v>
      </c>
      <c r="O30" s="24" t="s">
        <v>392</v>
      </c>
    </row>
    <row r="31" customFormat="false" ht="43.25" hidden="false" customHeight="false" outlineLevel="0" collapsed="false">
      <c r="A31" s="20" t="n">
        <v>19</v>
      </c>
      <c r="B31" s="20" t="s">
        <v>609</v>
      </c>
      <c r="C31" s="20" t="s">
        <v>302</v>
      </c>
      <c r="D31" s="20" t="s">
        <v>303</v>
      </c>
      <c r="E31" s="20" t="s">
        <v>304</v>
      </c>
      <c r="F31" s="20" t="s">
        <v>610</v>
      </c>
      <c r="G31" s="20" t="s">
        <v>306</v>
      </c>
      <c r="H31" s="20" t="s">
        <v>109</v>
      </c>
      <c r="I31" s="21"/>
      <c r="J31" s="22"/>
      <c r="K31" s="21"/>
      <c r="L31" s="21"/>
      <c r="M31" s="21"/>
      <c r="N31" s="23" t="s">
        <v>187</v>
      </c>
      <c r="O31" s="24" t="s">
        <v>387</v>
      </c>
    </row>
    <row r="32" customFormat="false" ht="43.25" hidden="false" customHeight="false" outlineLevel="0" collapsed="false">
      <c r="A32" s="25" t="n">
        <v>20</v>
      </c>
      <c r="B32" s="25" t="s">
        <v>611</v>
      </c>
      <c r="C32" s="25" t="s">
        <v>302</v>
      </c>
      <c r="D32" s="25" t="s">
        <v>303</v>
      </c>
      <c r="E32" s="25" t="s">
        <v>304</v>
      </c>
      <c r="F32" s="25" t="s">
        <v>612</v>
      </c>
      <c r="G32" s="25" t="s">
        <v>306</v>
      </c>
      <c r="H32" s="25" t="s">
        <v>109</v>
      </c>
      <c r="I32" s="21"/>
      <c r="J32" s="22"/>
      <c r="K32" s="21"/>
      <c r="L32" s="21"/>
      <c r="M32" s="21"/>
      <c r="N32" s="23" t="s">
        <v>187</v>
      </c>
      <c r="O32" s="24" t="s">
        <v>387</v>
      </c>
    </row>
    <row r="33" customFormat="false" ht="43.25" hidden="false" customHeight="false" outlineLevel="0" collapsed="false">
      <c r="A33" s="20" t="n">
        <v>21</v>
      </c>
      <c r="B33" s="20" t="s">
        <v>613</v>
      </c>
      <c r="C33" s="20" t="s">
        <v>302</v>
      </c>
      <c r="D33" s="20" t="s">
        <v>303</v>
      </c>
      <c r="E33" s="20" t="s">
        <v>304</v>
      </c>
      <c r="F33" s="20" t="s">
        <v>614</v>
      </c>
      <c r="G33" s="20" t="s">
        <v>306</v>
      </c>
      <c r="H33" s="20" t="s">
        <v>109</v>
      </c>
      <c r="I33" s="21"/>
      <c r="J33" s="22"/>
      <c r="K33" s="21"/>
      <c r="L33" s="21"/>
      <c r="M33" s="21"/>
      <c r="N33" s="23" t="s">
        <v>5</v>
      </c>
      <c r="O33" s="24" t="s">
        <v>316</v>
      </c>
    </row>
    <row r="34" customFormat="false" ht="43.25" hidden="false" customHeight="false" outlineLevel="0" collapsed="false">
      <c r="A34" s="25" t="n">
        <v>22</v>
      </c>
      <c r="B34" s="25" t="s">
        <v>583</v>
      </c>
      <c r="C34" s="25" t="s">
        <v>302</v>
      </c>
      <c r="D34" s="25" t="s">
        <v>303</v>
      </c>
      <c r="E34" s="25" t="s">
        <v>304</v>
      </c>
      <c r="F34" s="25" t="s">
        <v>615</v>
      </c>
      <c r="G34" s="25" t="s">
        <v>306</v>
      </c>
      <c r="H34" s="25" t="s">
        <v>109</v>
      </c>
      <c r="I34" s="21"/>
      <c r="J34" s="22"/>
      <c r="K34" s="21"/>
      <c r="L34" s="21"/>
      <c r="M34" s="21"/>
      <c r="N34" s="23" t="s">
        <v>5</v>
      </c>
      <c r="O34" s="24" t="s">
        <v>311</v>
      </c>
    </row>
    <row r="35" customFormat="false" ht="43.25" hidden="false" customHeight="false" outlineLevel="0" collapsed="false">
      <c r="A35" s="20" t="n">
        <v>23</v>
      </c>
      <c r="B35" s="20" t="s">
        <v>616</v>
      </c>
      <c r="C35" s="20" t="s">
        <v>302</v>
      </c>
      <c r="D35" s="20" t="s">
        <v>303</v>
      </c>
      <c r="E35" s="20" t="s">
        <v>304</v>
      </c>
      <c r="F35" s="20" t="s">
        <v>617</v>
      </c>
      <c r="G35" s="20" t="s">
        <v>306</v>
      </c>
      <c r="H35" s="20" t="s">
        <v>109</v>
      </c>
      <c r="I35" s="21"/>
      <c r="J35" s="22"/>
      <c r="K35" s="21"/>
      <c r="L35" s="21"/>
      <c r="M35" s="21"/>
      <c r="N35" s="23" t="s">
        <v>187</v>
      </c>
      <c r="O35" s="24" t="s">
        <v>387</v>
      </c>
    </row>
    <row r="36" customFormat="false" ht="43.25" hidden="false" customHeight="false" outlineLevel="0" collapsed="false">
      <c r="A36" s="25" t="n">
        <v>24</v>
      </c>
      <c r="B36" s="25" t="s">
        <v>571</v>
      </c>
      <c r="C36" s="25" t="s">
        <v>302</v>
      </c>
      <c r="D36" s="25" t="s">
        <v>303</v>
      </c>
      <c r="E36" s="25" t="s">
        <v>304</v>
      </c>
      <c r="F36" s="25" t="s">
        <v>618</v>
      </c>
      <c r="G36" s="25" t="s">
        <v>306</v>
      </c>
      <c r="H36" s="25" t="s">
        <v>109</v>
      </c>
      <c r="I36" s="21"/>
      <c r="J36" s="22"/>
      <c r="K36" s="21"/>
      <c r="L36" s="21"/>
      <c r="M36" s="21"/>
      <c r="N36" s="23" t="s">
        <v>5</v>
      </c>
      <c r="O36" s="24" t="s">
        <v>307</v>
      </c>
    </row>
    <row r="37" customFormat="false" ht="43.25" hidden="false" customHeight="false" outlineLevel="0" collapsed="false">
      <c r="A37" s="20" t="n">
        <v>25</v>
      </c>
      <c r="B37" s="20" t="s">
        <v>577</v>
      </c>
      <c r="C37" s="20" t="s">
        <v>302</v>
      </c>
      <c r="D37" s="20" t="s">
        <v>303</v>
      </c>
      <c r="E37" s="20" t="s">
        <v>304</v>
      </c>
      <c r="F37" s="20" t="s">
        <v>619</v>
      </c>
      <c r="G37" s="20" t="s">
        <v>306</v>
      </c>
      <c r="H37" s="20" t="s">
        <v>109</v>
      </c>
      <c r="I37" s="21"/>
      <c r="J37" s="22"/>
      <c r="K37" s="21"/>
      <c r="L37" s="21"/>
      <c r="M37" s="21"/>
      <c r="N37" s="23" t="s">
        <v>5</v>
      </c>
      <c r="O37" s="24" t="s">
        <v>311</v>
      </c>
    </row>
    <row r="38" customFormat="false" ht="43.25" hidden="false" customHeight="false" outlineLevel="0" collapsed="false">
      <c r="A38" s="25" t="n">
        <v>26</v>
      </c>
      <c r="B38" s="25" t="s">
        <v>620</v>
      </c>
      <c r="C38" s="25" t="s">
        <v>302</v>
      </c>
      <c r="D38" s="25" t="s">
        <v>303</v>
      </c>
      <c r="E38" s="25" t="s">
        <v>304</v>
      </c>
      <c r="F38" s="25" t="s">
        <v>621</v>
      </c>
      <c r="G38" s="25" t="s">
        <v>306</v>
      </c>
      <c r="H38" s="25" t="s">
        <v>109</v>
      </c>
      <c r="I38" s="21"/>
      <c r="J38" s="22"/>
      <c r="K38" s="21"/>
      <c r="L38" s="21"/>
      <c r="M38" s="21"/>
      <c r="N38" s="23" t="s">
        <v>5</v>
      </c>
      <c r="O38" s="24" t="s">
        <v>433</v>
      </c>
    </row>
    <row r="39" customFormat="false" ht="43.25" hidden="false" customHeight="false" outlineLevel="0" collapsed="false">
      <c r="A39" s="20" t="n">
        <v>27</v>
      </c>
      <c r="B39" s="20" t="s">
        <v>622</v>
      </c>
      <c r="C39" s="20" t="s">
        <v>302</v>
      </c>
      <c r="D39" s="20" t="s">
        <v>303</v>
      </c>
      <c r="E39" s="20" t="s">
        <v>304</v>
      </c>
      <c r="F39" s="20" t="s">
        <v>623</v>
      </c>
      <c r="G39" s="20" t="s">
        <v>306</v>
      </c>
      <c r="H39" s="20" t="s">
        <v>109</v>
      </c>
      <c r="I39" s="21"/>
      <c r="J39" s="22"/>
      <c r="K39" s="21"/>
      <c r="L39" s="21"/>
      <c r="M39" s="21"/>
      <c r="N39" s="23" t="s">
        <v>5</v>
      </c>
      <c r="O39" s="24" t="s">
        <v>392</v>
      </c>
    </row>
    <row r="40" customFormat="false" ht="43.25" hidden="false" customHeight="false" outlineLevel="0" collapsed="false">
      <c r="A40" s="25" t="n">
        <v>28</v>
      </c>
      <c r="B40" s="25" t="s">
        <v>624</v>
      </c>
      <c r="C40" s="25" t="s">
        <v>302</v>
      </c>
      <c r="D40" s="25" t="s">
        <v>303</v>
      </c>
      <c r="E40" s="25" t="s">
        <v>304</v>
      </c>
      <c r="F40" s="25" t="s">
        <v>625</v>
      </c>
      <c r="G40" s="25" t="s">
        <v>306</v>
      </c>
      <c r="H40" s="25" t="s">
        <v>109</v>
      </c>
      <c r="I40" s="21"/>
      <c r="J40" s="22"/>
      <c r="K40" s="21"/>
      <c r="L40" s="21"/>
      <c r="M40" s="21"/>
      <c r="N40" s="23" t="s">
        <v>5</v>
      </c>
      <c r="O40" s="24" t="s">
        <v>326</v>
      </c>
    </row>
    <row r="41" customFormat="false" ht="43.25" hidden="false" customHeight="false" outlineLevel="0" collapsed="false">
      <c r="A41" s="20" t="n">
        <v>29</v>
      </c>
      <c r="B41" s="20" t="s">
        <v>626</v>
      </c>
      <c r="C41" s="20" t="s">
        <v>302</v>
      </c>
      <c r="D41" s="20" t="s">
        <v>303</v>
      </c>
      <c r="E41" s="20" t="s">
        <v>304</v>
      </c>
      <c r="F41" s="20" t="s">
        <v>627</v>
      </c>
      <c r="G41" s="20" t="s">
        <v>306</v>
      </c>
      <c r="H41" s="20" t="s">
        <v>109</v>
      </c>
      <c r="I41" s="21"/>
      <c r="J41" s="22"/>
      <c r="K41" s="21"/>
      <c r="L41" s="21"/>
      <c r="M41" s="21"/>
      <c r="N41" s="23" t="s">
        <v>5</v>
      </c>
      <c r="O41" s="24" t="s">
        <v>399</v>
      </c>
    </row>
    <row r="42" customFormat="false" ht="43.25" hidden="false" customHeight="false" outlineLevel="0" collapsed="false">
      <c r="A42" s="25" t="n">
        <v>30</v>
      </c>
      <c r="B42" s="25" t="s">
        <v>628</v>
      </c>
      <c r="C42" s="25" t="s">
        <v>302</v>
      </c>
      <c r="D42" s="25" t="s">
        <v>303</v>
      </c>
      <c r="E42" s="25" t="s">
        <v>304</v>
      </c>
      <c r="F42" s="25" t="s">
        <v>629</v>
      </c>
      <c r="G42" s="25" t="s">
        <v>306</v>
      </c>
      <c r="H42" s="25" t="s">
        <v>109</v>
      </c>
      <c r="I42" s="21"/>
      <c r="J42" s="22"/>
      <c r="K42" s="21"/>
      <c r="L42" s="21"/>
      <c r="M42" s="21"/>
      <c r="N42" s="23" t="s">
        <v>5</v>
      </c>
      <c r="O42" s="24" t="s">
        <v>433</v>
      </c>
    </row>
  </sheetData>
  <autoFilter ref="A12:O42"/>
  <mergeCells count="6">
    <mergeCell ref="A1:O1"/>
    <mergeCell ref="I5:O5"/>
    <mergeCell ref="I6:O6"/>
    <mergeCell ref="I7:O7"/>
    <mergeCell ref="I8:O8"/>
    <mergeCell ref="I9:O9"/>
  </mergeCells>
  <conditionalFormatting sqref="K13:K242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42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42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42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630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COUNTA($A$13:$A$58)</f>
        <v>46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C5-COUNTIF($K$13:$K$58,"OK")-COUNTIF($K$13:$K$58,"KO")-COUNTIF($K$13:$K$58,"Bloqué")-COUNTIF($K$13:$K$58,"N/A")</f>
        <v>46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COUNTIF($K$13:$K$58,"OK")</f>
        <v>0</v>
      </c>
      <c r="D7" s="18" t="n">
        <f aca="false">IF($C$5=0,0,C7/$C$5)</f>
        <v>0</v>
      </c>
      <c r="E7" s="16" t="s">
        <v>66</v>
      </c>
      <c r="G7" s="17" t="n">
        <f aca="false">COUNTIFS($K$13:$K$58,"KO",$H$13:$H$58,"Haute")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COUNTIF($K$13:$K$58,"KO")</f>
        <v>0</v>
      </c>
      <c r="D8" s="18" t="n">
        <f aca="false">IF($C$5=0,0,C8/$C$5)</f>
        <v>0</v>
      </c>
      <c r="E8" s="16" t="s">
        <v>68</v>
      </c>
      <c r="G8" s="17" t="str">
        <f aca="false">COUNTIF(N13:N58,"OK")&amp;" / "&amp;COUNTIF(N13:N58,"OK PARTIEL")&amp;" / "&amp;COUNTIF(N13:N58,"KO")&amp;" / "&amp;COUNTIF(N13:N58,"NON EXÉCUTÉ")</f>
        <v>39 / 3 / 0 / 4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COUNTIF($K$13:$K$58,"Bloqué")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COUNTIF($K$13:$K$58,"N/A")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32.8" hidden="false" customHeight="false" outlineLevel="0" collapsed="false">
      <c r="A13" s="20" t="n">
        <v>1</v>
      </c>
      <c r="B13" s="20" t="s">
        <v>631</v>
      </c>
      <c r="C13" s="20" t="s">
        <v>87</v>
      </c>
      <c r="D13" s="20" t="s">
        <v>632</v>
      </c>
      <c r="E13" s="20" t="s">
        <v>453</v>
      </c>
      <c r="F13" s="20" t="s">
        <v>633</v>
      </c>
      <c r="G13" s="20" t="s">
        <v>634</v>
      </c>
      <c r="H13" s="20" t="s">
        <v>92</v>
      </c>
      <c r="I13" s="21"/>
      <c r="J13" s="22"/>
      <c r="K13" s="21"/>
      <c r="L13" s="21"/>
      <c r="M13" s="21"/>
      <c r="N13" s="23" t="s">
        <v>114</v>
      </c>
      <c r="O13" s="24" t="s">
        <v>635</v>
      </c>
    </row>
    <row r="14" customFormat="false" ht="32.8" hidden="false" customHeight="false" outlineLevel="0" collapsed="false">
      <c r="A14" s="25" t="n">
        <v>2</v>
      </c>
      <c r="B14" s="25" t="s">
        <v>636</v>
      </c>
      <c r="C14" s="25" t="s">
        <v>87</v>
      </c>
      <c r="D14" s="25" t="s">
        <v>637</v>
      </c>
      <c r="E14" s="25" t="s">
        <v>638</v>
      </c>
      <c r="F14" s="25" t="s">
        <v>639</v>
      </c>
      <c r="G14" s="25" t="s">
        <v>640</v>
      </c>
      <c r="H14" s="25" t="s">
        <v>92</v>
      </c>
      <c r="I14" s="21"/>
      <c r="J14" s="22"/>
      <c r="K14" s="21"/>
      <c r="L14" s="21"/>
      <c r="M14" s="21"/>
      <c r="N14" s="23" t="s">
        <v>5</v>
      </c>
      <c r="O14" s="24" t="s">
        <v>641</v>
      </c>
    </row>
    <row r="15" customFormat="false" ht="22.35" hidden="false" customHeight="false" outlineLevel="0" collapsed="false">
      <c r="A15" s="20" t="n">
        <v>3</v>
      </c>
      <c r="B15" s="20" t="s">
        <v>642</v>
      </c>
      <c r="C15" s="20" t="s">
        <v>87</v>
      </c>
      <c r="D15" s="20" t="s">
        <v>643</v>
      </c>
      <c r="E15" s="20" t="s">
        <v>644</v>
      </c>
      <c r="F15" s="20" t="s">
        <v>645</v>
      </c>
      <c r="G15" s="20" t="s">
        <v>646</v>
      </c>
      <c r="H15" s="20" t="s">
        <v>92</v>
      </c>
      <c r="I15" s="21"/>
      <c r="J15" s="22"/>
      <c r="K15" s="21"/>
      <c r="L15" s="21"/>
      <c r="M15" s="21"/>
      <c r="N15" s="23" t="s">
        <v>5</v>
      </c>
      <c r="O15" s="24" t="s">
        <v>647</v>
      </c>
    </row>
    <row r="16" customFormat="false" ht="22.35" hidden="false" customHeight="false" outlineLevel="0" collapsed="false">
      <c r="A16" s="25" t="n">
        <v>4</v>
      </c>
      <c r="B16" s="25" t="s">
        <v>648</v>
      </c>
      <c r="C16" s="25" t="s">
        <v>87</v>
      </c>
      <c r="D16" s="25" t="s">
        <v>649</v>
      </c>
      <c r="E16" s="25" t="s">
        <v>650</v>
      </c>
      <c r="F16" s="25" t="s">
        <v>651</v>
      </c>
      <c r="G16" s="25" t="s">
        <v>652</v>
      </c>
      <c r="H16" s="25" t="s">
        <v>109</v>
      </c>
      <c r="I16" s="21"/>
      <c r="J16" s="22"/>
      <c r="K16" s="21"/>
      <c r="L16" s="21"/>
      <c r="M16" s="21"/>
      <c r="N16" s="23" t="s">
        <v>187</v>
      </c>
      <c r="O16" s="24" t="s">
        <v>653</v>
      </c>
    </row>
    <row r="17" customFormat="false" ht="32.8" hidden="false" customHeight="false" outlineLevel="0" collapsed="false">
      <c r="A17" s="20" t="n">
        <v>5</v>
      </c>
      <c r="B17" s="20" t="s">
        <v>654</v>
      </c>
      <c r="C17" s="20" t="s">
        <v>87</v>
      </c>
      <c r="D17" s="20" t="s">
        <v>655</v>
      </c>
      <c r="E17" s="20" t="s">
        <v>656</v>
      </c>
      <c r="F17" s="20" t="s">
        <v>657</v>
      </c>
      <c r="G17" s="20" t="s">
        <v>658</v>
      </c>
      <c r="H17" s="20" t="s">
        <v>109</v>
      </c>
      <c r="I17" s="21"/>
      <c r="J17" s="22"/>
      <c r="K17" s="21"/>
      <c r="L17" s="21"/>
      <c r="M17" s="21"/>
      <c r="N17" s="23" t="s">
        <v>114</v>
      </c>
      <c r="O17" s="24" t="s">
        <v>659</v>
      </c>
    </row>
    <row r="18" customFormat="false" ht="32.8" hidden="false" customHeight="false" outlineLevel="0" collapsed="false">
      <c r="A18" s="25" t="n">
        <v>6</v>
      </c>
      <c r="B18" s="25" t="s">
        <v>660</v>
      </c>
      <c r="C18" s="25" t="s">
        <v>87</v>
      </c>
      <c r="D18" s="25" t="s">
        <v>661</v>
      </c>
      <c r="E18" s="25" t="s">
        <v>662</v>
      </c>
      <c r="F18" s="25" t="s">
        <v>663</v>
      </c>
      <c r="G18" s="25" t="s">
        <v>664</v>
      </c>
      <c r="H18" s="25" t="s">
        <v>218</v>
      </c>
      <c r="I18" s="21"/>
      <c r="J18" s="22"/>
      <c r="K18" s="21"/>
      <c r="L18" s="21"/>
      <c r="M18" s="21"/>
      <c r="N18" s="23" t="s">
        <v>114</v>
      </c>
      <c r="O18" s="24" t="s">
        <v>665</v>
      </c>
    </row>
    <row r="19" customFormat="false" ht="22.35" hidden="false" customHeight="false" outlineLevel="0" collapsed="false">
      <c r="A19" s="20" t="n">
        <v>7</v>
      </c>
      <c r="B19" s="20" t="s">
        <v>666</v>
      </c>
      <c r="C19" s="20" t="s">
        <v>87</v>
      </c>
      <c r="D19" s="20" t="s">
        <v>667</v>
      </c>
      <c r="E19" s="20" t="s">
        <v>668</v>
      </c>
      <c r="F19" s="20" t="s">
        <v>669</v>
      </c>
      <c r="G19" s="20" t="s">
        <v>670</v>
      </c>
      <c r="H19" s="20" t="s">
        <v>109</v>
      </c>
      <c r="I19" s="21"/>
      <c r="J19" s="22"/>
      <c r="K19" s="21"/>
      <c r="L19" s="21"/>
      <c r="M19" s="21"/>
      <c r="N19" s="23" t="s">
        <v>5</v>
      </c>
      <c r="O19" s="24" t="s">
        <v>671</v>
      </c>
    </row>
    <row r="20" customFormat="false" ht="32.8" hidden="false" customHeight="false" outlineLevel="0" collapsed="false">
      <c r="A20" s="25" t="n">
        <v>8</v>
      </c>
      <c r="B20" s="25" t="s">
        <v>631</v>
      </c>
      <c r="C20" s="25" t="s">
        <v>302</v>
      </c>
      <c r="D20" s="25" t="s">
        <v>303</v>
      </c>
      <c r="E20" s="25" t="s">
        <v>304</v>
      </c>
      <c r="F20" s="25" t="s">
        <v>672</v>
      </c>
      <c r="G20" s="25" t="s">
        <v>306</v>
      </c>
      <c r="H20" s="25" t="s">
        <v>109</v>
      </c>
      <c r="I20" s="21"/>
      <c r="J20" s="22"/>
      <c r="K20" s="21"/>
      <c r="L20" s="21"/>
      <c r="M20" s="21"/>
      <c r="N20" s="23" t="s">
        <v>5</v>
      </c>
      <c r="O20" s="24" t="s">
        <v>399</v>
      </c>
    </row>
    <row r="21" customFormat="false" ht="43.25" hidden="false" customHeight="false" outlineLevel="0" collapsed="false">
      <c r="A21" s="20" t="n">
        <v>9</v>
      </c>
      <c r="B21" s="20" t="s">
        <v>673</v>
      </c>
      <c r="C21" s="20" t="s">
        <v>302</v>
      </c>
      <c r="D21" s="20" t="s">
        <v>303</v>
      </c>
      <c r="E21" s="20" t="s">
        <v>304</v>
      </c>
      <c r="F21" s="20" t="s">
        <v>674</v>
      </c>
      <c r="G21" s="20" t="s">
        <v>306</v>
      </c>
      <c r="H21" s="20" t="s">
        <v>109</v>
      </c>
      <c r="I21" s="21"/>
      <c r="J21" s="22"/>
      <c r="K21" s="21"/>
      <c r="L21" s="21"/>
      <c r="M21" s="21"/>
      <c r="N21" s="23" t="s">
        <v>5</v>
      </c>
      <c r="O21" s="24" t="s">
        <v>433</v>
      </c>
    </row>
    <row r="22" customFormat="false" ht="43.25" hidden="false" customHeight="false" outlineLevel="0" collapsed="false">
      <c r="A22" s="25" t="n">
        <v>10</v>
      </c>
      <c r="B22" s="25" t="s">
        <v>675</v>
      </c>
      <c r="C22" s="25" t="s">
        <v>302</v>
      </c>
      <c r="D22" s="25" t="s">
        <v>303</v>
      </c>
      <c r="E22" s="25" t="s">
        <v>304</v>
      </c>
      <c r="F22" s="25" t="s">
        <v>676</v>
      </c>
      <c r="G22" s="25" t="s">
        <v>306</v>
      </c>
      <c r="H22" s="25" t="s">
        <v>109</v>
      </c>
      <c r="I22" s="21"/>
      <c r="J22" s="22"/>
      <c r="K22" s="21"/>
      <c r="L22" s="21"/>
      <c r="M22" s="21"/>
      <c r="N22" s="23" t="s">
        <v>5</v>
      </c>
      <c r="O22" s="24" t="s">
        <v>329</v>
      </c>
    </row>
    <row r="23" customFormat="false" ht="43.25" hidden="false" customHeight="false" outlineLevel="0" collapsed="false">
      <c r="A23" s="20" t="n">
        <v>11</v>
      </c>
      <c r="B23" s="20" t="s">
        <v>677</v>
      </c>
      <c r="C23" s="20" t="s">
        <v>302</v>
      </c>
      <c r="D23" s="20" t="s">
        <v>303</v>
      </c>
      <c r="E23" s="20" t="s">
        <v>304</v>
      </c>
      <c r="F23" s="20" t="s">
        <v>678</v>
      </c>
      <c r="G23" s="20" t="s">
        <v>306</v>
      </c>
      <c r="H23" s="20" t="s">
        <v>109</v>
      </c>
      <c r="I23" s="21"/>
      <c r="J23" s="22"/>
      <c r="K23" s="21"/>
      <c r="L23" s="21"/>
      <c r="M23" s="21"/>
      <c r="N23" s="23" t="s">
        <v>5</v>
      </c>
      <c r="O23" s="24" t="s">
        <v>679</v>
      </c>
    </row>
    <row r="24" customFormat="false" ht="32.8" hidden="false" customHeight="false" outlineLevel="0" collapsed="false">
      <c r="A24" s="25" t="n">
        <v>12</v>
      </c>
      <c r="B24" s="25" t="s">
        <v>680</v>
      </c>
      <c r="C24" s="25" t="s">
        <v>302</v>
      </c>
      <c r="D24" s="25" t="s">
        <v>303</v>
      </c>
      <c r="E24" s="25" t="s">
        <v>304</v>
      </c>
      <c r="F24" s="25" t="s">
        <v>681</v>
      </c>
      <c r="G24" s="25" t="s">
        <v>306</v>
      </c>
      <c r="H24" s="25" t="s">
        <v>109</v>
      </c>
      <c r="I24" s="21"/>
      <c r="J24" s="22"/>
      <c r="K24" s="21"/>
      <c r="L24" s="21"/>
      <c r="M24" s="21"/>
      <c r="N24" s="23" t="s">
        <v>5</v>
      </c>
      <c r="O24" s="24" t="s">
        <v>399</v>
      </c>
    </row>
    <row r="25" customFormat="false" ht="32.8" hidden="false" customHeight="false" outlineLevel="0" collapsed="false">
      <c r="A25" s="20" t="n">
        <v>13</v>
      </c>
      <c r="B25" s="20" t="s">
        <v>682</v>
      </c>
      <c r="C25" s="20" t="s">
        <v>302</v>
      </c>
      <c r="D25" s="20" t="s">
        <v>303</v>
      </c>
      <c r="E25" s="20" t="s">
        <v>304</v>
      </c>
      <c r="F25" s="20" t="s">
        <v>683</v>
      </c>
      <c r="G25" s="20" t="s">
        <v>306</v>
      </c>
      <c r="H25" s="20" t="s">
        <v>109</v>
      </c>
      <c r="I25" s="21"/>
      <c r="J25" s="22"/>
      <c r="K25" s="21"/>
      <c r="L25" s="21"/>
      <c r="M25" s="21"/>
      <c r="N25" s="23" t="s">
        <v>5</v>
      </c>
      <c r="O25" s="24" t="s">
        <v>316</v>
      </c>
    </row>
    <row r="26" customFormat="false" ht="43.25" hidden="false" customHeight="false" outlineLevel="0" collapsed="false">
      <c r="A26" s="25" t="n">
        <v>14</v>
      </c>
      <c r="B26" s="25" t="s">
        <v>684</v>
      </c>
      <c r="C26" s="25" t="s">
        <v>302</v>
      </c>
      <c r="D26" s="25" t="s">
        <v>303</v>
      </c>
      <c r="E26" s="25" t="s">
        <v>304</v>
      </c>
      <c r="F26" s="25" t="s">
        <v>685</v>
      </c>
      <c r="G26" s="25" t="s">
        <v>306</v>
      </c>
      <c r="H26" s="25" t="s">
        <v>109</v>
      </c>
      <c r="I26" s="21"/>
      <c r="J26" s="22"/>
      <c r="K26" s="21"/>
      <c r="L26" s="21"/>
      <c r="M26" s="21"/>
      <c r="N26" s="23" t="s">
        <v>5</v>
      </c>
      <c r="O26" s="24" t="s">
        <v>339</v>
      </c>
    </row>
    <row r="27" customFormat="false" ht="43.25" hidden="false" customHeight="false" outlineLevel="0" collapsed="false">
      <c r="A27" s="20" t="n">
        <v>15</v>
      </c>
      <c r="B27" s="20" t="s">
        <v>686</v>
      </c>
      <c r="C27" s="20" t="s">
        <v>302</v>
      </c>
      <c r="D27" s="20" t="s">
        <v>303</v>
      </c>
      <c r="E27" s="20" t="s">
        <v>304</v>
      </c>
      <c r="F27" s="20" t="s">
        <v>687</v>
      </c>
      <c r="G27" s="20" t="s">
        <v>306</v>
      </c>
      <c r="H27" s="20" t="s">
        <v>109</v>
      </c>
      <c r="I27" s="21"/>
      <c r="J27" s="22"/>
      <c r="K27" s="21"/>
      <c r="L27" s="21"/>
      <c r="M27" s="21"/>
      <c r="N27" s="23" t="s">
        <v>5</v>
      </c>
      <c r="O27" s="24" t="s">
        <v>339</v>
      </c>
    </row>
    <row r="28" customFormat="false" ht="43.25" hidden="false" customHeight="false" outlineLevel="0" collapsed="false">
      <c r="A28" s="25" t="n">
        <v>16</v>
      </c>
      <c r="B28" s="25" t="s">
        <v>688</v>
      </c>
      <c r="C28" s="25" t="s">
        <v>302</v>
      </c>
      <c r="D28" s="25" t="s">
        <v>303</v>
      </c>
      <c r="E28" s="25" t="s">
        <v>304</v>
      </c>
      <c r="F28" s="25" t="s">
        <v>689</v>
      </c>
      <c r="G28" s="25" t="s">
        <v>306</v>
      </c>
      <c r="H28" s="25" t="s">
        <v>109</v>
      </c>
      <c r="I28" s="21"/>
      <c r="J28" s="22"/>
      <c r="K28" s="21"/>
      <c r="L28" s="21"/>
      <c r="M28" s="21"/>
      <c r="N28" s="23" t="s">
        <v>5</v>
      </c>
      <c r="O28" s="24" t="s">
        <v>392</v>
      </c>
    </row>
    <row r="29" customFormat="false" ht="43.25" hidden="false" customHeight="false" outlineLevel="0" collapsed="false">
      <c r="A29" s="20" t="n">
        <v>17</v>
      </c>
      <c r="B29" s="20" t="s">
        <v>690</v>
      </c>
      <c r="C29" s="20" t="s">
        <v>302</v>
      </c>
      <c r="D29" s="20" t="s">
        <v>303</v>
      </c>
      <c r="E29" s="20" t="s">
        <v>304</v>
      </c>
      <c r="F29" s="20" t="s">
        <v>691</v>
      </c>
      <c r="G29" s="20" t="s">
        <v>306</v>
      </c>
      <c r="H29" s="20" t="s">
        <v>109</v>
      </c>
      <c r="I29" s="21"/>
      <c r="J29" s="22"/>
      <c r="K29" s="21"/>
      <c r="L29" s="21"/>
      <c r="M29" s="21"/>
      <c r="N29" s="23" t="s">
        <v>5</v>
      </c>
      <c r="O29" s="24" t="s">
        <v>422</v>
      </c>
    </row>
    <row r="30" customFormat="false" ht="43.25" hidden="false" customHeight="false" outlineLevel="0" collapsed="false">
      <c r="A30" s="25" t="n">
        <v>18</v>
      </c>
      <c r="B30" s="25" t="s">
        <v>692</v>
      </c>
      <c r="C30" s="25" t="s">
        <v>302</v>
      </c>
      <c r="D30" s="25" t="s">
        <v>303</v>
      </c>
      <c r="E30" s="25" t="s">
        <v>304</v>
      </c>
      <c r="F30" s="25" t="s">
        <v>693</v>
      </c>
      <c r="G30" s="25" t="s">
        <v>306</v>
      </c>
      <c r="H30" s="25" t="s">
        <v>109</v>
      </c>
      <c r="I30" s="21"/>
      <c r="J30" s="22"/>
      <c r="K30" s="21"/>
      <c r="L30" s="21"/>
      <c r="M30" s="21"/>
      <c r="N30" s="23" t="s">
        <v>5</v>
      </c>
      <c r="O30" s="24" t="s">
        <v>694</v>
      </c>
    </row>
    <row r="31" customFormat="false" ht="43.25" hidden="false" customHeight="false" outlineLevel="0" collapsed="false">
      <c r="A31" s="20" t="n">
        <v>19</v>
      </c>
      <c r="B31" s="20" t="s">
        <v>695</v>
      </c>
      <c r="C31" s="20" t="s">
        <v>302</v>
      </c>
      <c r="D31" s="20" t="s">
        <v>303</v>
      </c>
      <c r="E31" s="20" t="s">
        <v>304</v>
      </c>
      <c r="F31" s="20" t="s">
        <v>696</v>
      </c>
      <c r="G31" s="20" t="s">
        <v>306</v>
      </c>
      <c r="H31" s="20" t="s">
        <v>109</v>
      </c>
      <c r="I31" s="21"/>
      <c r="J31" s="22"/>
      <c r="K31" s="21"/>
      <c r="L31" s="21"/>
      <c r="M31" s="21"/>
      <c r="N31" s="23" t="s">
        <v>187</v>
      </c>
      <c r="O31" s="24" t="s">
        <v>387</v>
      </c>
    </row>
    <row r="32" customFormat="false" ht="43.25" hidden="false" customHeight="false" outlineLevel="0" collapsed="false">
      <c r="A32" s="25" t="n">
        <v>20</v>
      </c>
      <c r="B32" s="25" t="s">
        <v>697</v>
      </c>
      <c r="C32" s="25" t="s">
        <v>302</v>
      </c>
      <c r="D32" s="25" t="s">
        <v>303</v>
      </c>
      <c r="E32" s="25" t="s">
        <v>304</v>
      </c>
      <c r="F32" s="25" t="s">
        <v>698</v>
      </c>
      <c r="G32" s="25" t="s">
        <v>306</v>
      </c>
      <c r="H32" s="25" t="s">
        <v>109</v>
      </c>
      <c r="I32" s="21"/>
      <c r="J32" s="22"/>
      <c r="K32" s="21"/>
      <c r="L32" s="21"/>
      <c r="M32" s="21"/>
      <c r="N32" s="23" t="s">
        <v>5</v>
      </c>
      <c r="O32" s="24" t="s">
        <v>699</v>
      </c>
    </row>
    <row r="33" customFormat="false" ht="43.25" hidden="false" customHeight="false" outlineLevel="0" collapsed="false">
      <c r="A33" s="20" t="n">
        <v>21</v>
      </c>
      <c r="B33" s="20" t="s">
        <v>700</v>
      </c>
      <c r="C33" s="20" t="s">
        <v>302</v>
      </c>
      <c r="D33" s="20" t="s">
        <v>303</v>
      </c>
      <c r="E33" s="20" t="s">
        <v>304</v>
      </c>
      <c r="F33" s="20" t="s">
        <v>701</v>
      </c>
      <c r="G33" s="20" t="s">
        <v>306</v>
      </c>
      <c r="H33" s="20" t="s">
        <v>109</v>
      </c>
      <c r="I33" s="21"/>
      <c r="J33" s="22"/>
      <c r="K33" s="21"/>
      <c r="L33" s="21"/>
      <c r="M33" s="21"/>
      <c r="N33" s="23" t="s">
        <v>5</v>
      </c>
      <c r="O33" s="24" t="s">
        <v>702</v>
      </c>
    </row>
    <row r="34" customFormat="false" ht="43.25" hidden="false" customHeight="false" outlineLevel="0" collapsed="false">
      <c r="A34" s="25" t="n">
        <v>22</v>
      </c>
      <c r="B34" s="25" t="s">
        <v>703</v>
      </c>
      <c r="C34" s="25" t="s">
        <v>302</v>
      </c>
      <c r="D34" s="25" t="s">
        <v>303</v>
      </c>
      <c r="E34" s="25" t="s">
        <v>304</v>
      </c>
      <c r="F34" s="25" t="s">
        <v>704</v>
      </c>
      <c r="G34" s="25" t="s">
        <v>306</v>
      </c>
      <c r="H34" s="25" t="s">
        <v>109</v>
      </c>
      <c r="I34" s="21"/>
      <c r="J34" s="22"/>
      <c r="K34" s="21"/>
      <c r="L34" s="21"/>
      <c r="M34" s="21"/>
      <c r="N34" s="23" t="s">
        <v>187</v>
      </c>
      <c r="O34" s="24" t="s">
        <v>387</v>
      </c>
    </row>
    <row r="35" customFormat="false" ht="32.8" hidden="false" customHeight="false" outlineLevel="0" collapsed="false">
      <c r="A35" s="20" t="n">
        <v>23</v>
      </c>
      <c r="B35" s="20" t="s">
        <v>705</v>
      </c>
      <c r="C35" s="20" t="s">
        <v>302</v>
      </c>
      <c r="D35" s="20" t="s">
        <v>303</v>
      </c>
      <c r="E35" s="20" t="s">
        <v>304</v>
      </c>
      <c r="F35" s="20" t="s">
        <v>706</v>
      </c>
      <c r="G35" s="20" t="s">
        <v>306</v>
      </c>
      <c r="H35" s="20" t="s">
        <v>109</v>
      </c>
      <c r="I35" s="21"/>
      <c r="J35" s="22"/>
      <c r="K35" s="21"/>
      <c r="L35" s="21"/>
      <c r="M35" s="21"/>
      <c r="N35" s="23" t="s">
        <v>5</v>
      </c>
      <c r="O35" s="24" t="s">
        <v>311</v>
      </c>
    </row>
    <row r="36" customFormat="false" ht="43.25" hidden="false" customHeight="false" outlineLevel="0" collapsed="false">
      <c r="A36" s="25" t="n">
        <v>24</v>
      </c>
      <c r="B36" s="25" t="s">
        <v>707</v>
      </c>
      <c r="C36" s="25" t="s">
        <v>302</v>
      </c>
      <c r="D36" s="25" t="s">
        <v>303</v>
      </c>
      <c r="E36" s="25" t="s">
        <v>304</v>
      </c>
      <c r="F36" s="25" t="s">
        <v>708</v>
      </c>
      <c r="G36" s="25" t="s">
        <v>306</v>
      </c>
      <c r="H36" s="25" t="s">
        <v>109</v>
      </c>
      <c r="I36" s="21"/>
      <c r="J36" s="22"/>
      <c r="K36" s="21"/>
      <c r="L36" s="21"/>
      <c r="M36" s="21"/>
      <c r="N36" s="23" t="s">
        <v>5</v>
      </c>
      <c r="O36" s="24" t="s">
        <v>422</v>
      </c>
    </row>
    <row r="37" customFormat="false" ht="32.8" hidden="false" customHeight="false" outlineLevel="0" collapsed="false">
      <c r="A37" s="20" t="n">
        <v>25</v>
      </c>
      <c r="B37" s="20" t="s">
        <v>709</v>
      </c>
      <c r="C37" s="20" t="s">
        <v>302</v>
      </c>
      <c r="D37" s="20" t="s">
        <v>303</v>
      </c>
      <c r="E37" s="20" t="s">
        <v>304</v>
      </c>
      <c r="F37" s="20" t="s">
        <v>710</v>
      </c>
      <c r="G37" s="20" t="s">
        <v>306</v>
      </c>
      <c r="H37" s="20" t="s">
        <v>109</v>
      </c>
      <c r="I37" s="21"/>
      <c r="J37" s="22"/>
      <c r="K37" s="21"/>
      <c r="L37" s="21"/>
      <c r="M37" s="21"/>
      <c r="N37" s="23" t="s">
        <v>5</v>
      </c>
      <c r="O37" s="24" t="s">
        <v>331</v>
      </c>
    </row>
    <row r="38" customFormat="false" ht="43.25" hidden="false" customHeight="false" outlineLevel="0" collapsed="false">
      <c r="A38" s="25" t="n">
        <v>26</v>
      </c>
      <c r="B38" s="25" t="s">
        <v>711</v>
      </c>
      <c r="C38" s="25" t="s">
        <v>302</v>
      </c>
      <c r="D38" s="25" t="s">
        <v>303</v>
      </c>
      <c r="E38" s="25" t="s">
        <v>304</v>
      </c>
      <c r="F38" s="25" t="s">
        <v>712</v>
      </c>
      <c r="G38" s="25" t="s">
        <v>306</v>
      </c>
      <c r="H38" s="25" t="s">
        <v>109</v>
      </c>
      <c r="I38" s="21"/>
      <c r="J38" s="22"/>
      <c r="K38" s="21"/>
      <c r="L38" s="21"/>
      <c r="M38" s="21"/>
      <c r="N38" s="23" t="s">
        <v>5</v>
      </c>
      <c r="O38" s="24" t="s">
        <v>422</v>
      </c>
    </row>
    <row r="39" customFormat="false" ht="32.8" hidden="false" customHeight="false" outlineLevel="0" collapsed="false">
      <c r="A39" s="20" t="n">
        <v>27</v>
      </c>
      <c r="B39" s="20" t="s">
        <v>636</v>
      </c>
      <c r="C39" s="20" t="s">
        <v>302</v>
      </c>
      <c r="D39" s="20" t="s">
        <v>303</v>
      </c>
      <c r="E39" s="20" t="s">
        <v>304</v>
      </c>
      <c r="F39" s="20" t="s">
        <v>713</v>
      </c>
      <c r="G39" s="20" t="s">
        <v>306</v>
      </c>
      <c r="H39" s="20" t="s">
        <v>109</v>
      </c>
      <c r="I39" s="21"/>
      <c r="J39" s="22"/>
      <c r="K39" s="21"/>
      <c r="L39" s="21"/>
      <c r="M39" s="21"/>
      <c r="N39" s="23" t="s">
        <v>5</v>
      </c>
      <c r="O39" s="24" t="s">
        <v>392</v>
      </c>
    </row>
    <row r="40" customFormat="false" ht="53.7" hidden="false" customHeight="false" outlineLevel="0" collapsed="false">
      <c r="A40" s="25" t="n">
        <v>28</v>
      </c>
      <c r="B40" s="25" t="s">
        <v>714</v>
      </c>
      <c r="C40" s="25" t="s">
        <v>302</v>
      </c>
      <c r="D40" s="25" t="s">
        <v>303</v>
      </c>
      <c r="E40" s="25" t="s">
        <v>304</v>
      </c>
      <c r="F40" s="25" t="s">
        <v>715</v>
      </c>
      <c r="G40" s="25" t="s">
        <v>306</v>
      </c>
      <c r="H40" s="25" t="s">
        <v>109</v>
      </c>
      <c r="I40" s="21"/>
      <c r="J40" s="22"/>
      <c r="K40" s="21"/>
      <c r="L40" s="21"/>
      <c r="M40" s="21"/>
      <c r="N40" s="23" t="s">
        <v>5</v>
      </c>
      <c r="O40" s="24" t="s">
        <v>716</v>
      </c>
    </row>
    <row r="41" customFormat="false" ht="43.25" hidden="false" customHeight="false" outlineLevel="0" collapsed="false">
      <c r="A41" s="20" t="n">
        <v>29</v>
      </c>
      <c r="B41" s="20" t="s">
        <v>717</v>
      </c>
      <c r="C41" s="20" t="s">
        <v>302</v>
      </c>
      <c r="D41" s="20" t="s">
        <v>303</v>
      </c>
      <c r="E41" s="20" t="s">
        <v>304</v>
      </c>
      <c r="F41" s="20" t="s">
        <v>718</v>
      </c>
      <c r="G41" s="20" t="s">
        <v>306</v>
      </c>
      <c r="H41" s="20" t="s">
        <v>109</v>
      </c>
      <c r="I41" s="21"/>
      <c r="J41" s="22"/>
      <c r="K41" s="21"/>
      <c r="L41" s="21"/>
      <c r="M41" s="21"/>
      <c r="N41" s="23" t="s">
        <v>5</v>
      </c>
      <c r="O41" s="24" t="s">
        <v>694</v>
      </c>
    </row>
    <row r="42" customFormat="false" ht="43.25" hidden="false" customHeight="false" outlineLevel="0" collapsed="false">
      <c r="A42" s="25" t="n">
        <v>30</v>
      </c>
      <c r="B42" s="25" t="s">
        <v>719</v>
      </c>
      <c r="C42" s="25" t="s">
        <v>302</v>
      </c>
      <c r="D42" s="25" t="s">
        <v>303</v>
      </c>
      <c r="E42" s="25" t="s">
        <v>304</v>
      </c>
      <c r="F42" s="25" t="s">
        <v>720</v>
      </c>
      <c r="G42" s="25" t="s">
        <v>306</v>
      </c>
      <c r="H42" s="25" t="s">
        <v>109</v>
      </c>
      <c r="I42" s="21"/>
      <c r="J42" s="22"/>
      <c r="K42" s="21"/>
      <c r="L42" s="21"/>
      <c r="M42" s="21"/>
      <c r="N42" s="23" t="s">
        <v>5</v>
      </c>
      <c r="O42" s="24" t="s">
        <v>329</v>
      </c>
    </row>
    <row r="43" customFormat="false" ht="32.8" hidden="false" customHeight="false" outlineLevel="0" collapsed="false">
      <c r="A43" s="20" t="n">
        <v>31</v>
      </c>
      <c r="B43" s="20" t="s">
        <v>642</v>
      </c>
      <c r="C43" s="20" t="s">
        <v>302</v>
      </c>
      <c r="D43" s="20" t="s">
        <v>303</v>
      </c>
      <c r="E43" s="20" t="s">
        <v>304</v>
      </c>
      <c r="F43" s="20" t="s">
        <v>721</v>
      </c>
      <c r="G43" s="20" t="s">
        <v>306</v>
      </c>
      <c r="H43" s="20" t="s">
        <v>109</v>
      </c>
      <c r="I43" s="21"/>
      <c r="J43" s="22"/>
      <c r="K43" s="21"/>
      <c r="L43" s="21"/>
      <c r="M43" s="21"/>
      <c r="N43" s="23" t="s">
        <v>5</v>
      </c>
      <c r="O43" s="24" t="s">
        <v>399</v>
      </c>
    </row>
    <row r="44" customFormat="false" ht="43.25" hidden="false" customHeight="false" outlineLevel="0" collapsed="false">
      <c r="A44" s="25" t="n">
        <v>32</v>
      </c>
      <c r="B44" s="25" t="s">
        <v>722</v>
      </c>
      <c r="C44" s="25" t="s">
        <v>302</v>
      </c>
      <c r="D44" s="25" t="s">
        <v>303</v>
      </c>
      <c r="E44" s="25" t="s">
        <v>304</v>
      </c>
      <c r="F44" s="25" t="s">
        <v>723</v>
      </c>
      <c r="G44" s="25" t="s">
        <v>306</v>
      </c>
      <c r="H44" s="25" t="s">
        <v>109</v>
      </c>
      <c r="I44" s="21"/>
      <c r="J44" s="22"/>
      <c r="K44" s="21"/>
      <c r="L44" s="21"/>
      <c r="M44" s="21"/>
      <c r="N44" s="23" t="s">
        <v>5</v>
      </c>
      <c r="O44" s="24" t="s">
        <v>316</v>
      </c>
    </row>
    <row r="45" customFormat="false" ht="32.8" hidden="false" customHeight="false" outlineLevel="0" collapsed="false">
      <c r="A45" s="20" t="n">
        <v>33</v>
      </c>
      <c r="B45" s="20" t="s">
        <v>648</v>
      </c>
      <c r="C45" s="20" t="s">
        <v>302</v>
      </c>
      <c r="D45" s="20" t="s">
        <v>303</v>
      </c>
      <c r="E45" s="20" t="s">
        <v>304</v>
      </c>
      <c r="F45" s="20" t="s">
        <v>724</v>
      </c>
      <c r="G45" s="20" t="s">
        <v>306</v>
      </c>
      <c r="H45" s="20" t="s">
        <v>109</v>
      </c>
      <c r="I45" s="21"/>
      <c r="J45" s="22"/>
      <c r="K45" s="21"/>
      <c r="L45" s="21"/>
      <c r="M45" s="21"/>
      <c r="N45" s="23" t="s">
        <v>5</v>
      </c>
      <c r="O45" s="24" t="s">
        <v>316</v>
      </c>
    </row>
    <row r="46" customFormat="false" ht="32.8" hidden="false" customHeight="false" outlineLevel="0" collapsed="false">
      <c r="A46" s="25" t="n">
        <v>34</v>
      </c>
      <c r="B46" s="25" t="s">
        <v>725</v>
      </c>
      <c r="C46" s="25" t="s">
        <v>302</v>
      </c>
      <c r="D46" s="25" t="s">
        <v>303</v>
      </c>
      <c r="E46" s="25" t="s">
        <v>304</v>
      </c>
      <c r="F46" s="25" t="s">
        <v>726</v>
      </c>
      <c r="G46" s="25" t="s">
        <v>306</v>
      </c>
      <c r="H46" s="25" t="s">
        <v>109</v>
      </c>
      <c r="I46" s="21"/>
      <c r="J46" s="22"/>
      <c r="K46" s="21"/>
      <c r="L46" s="21"/>
      <c r="M46" s="21"/>
      <c r="N46" s="23" t="s">
        <v>5</v>
      </c>
      <c r="O46" s="24" t="s">
        <v>311</v>
      </c>
    </row>
    <row r="47" customFormat="false" ht="43.25" hidden="false" customHeight="false" outlineLevel="0" collapsed="false">
      <c r="A47" s="20" t="n">
        <v>35</v>
      </c>
      <c r="B47" s="20" t="s">
        <v>727</v>
      </c>
      <c r="C47" s="20" t="s">
        <v>302</v>
      </c>
      <c r="D47" s="20" t="s">
        <v>303</v>
      </c>
      <c r="E47" s="20" t="s">
        <v>304</v>
      </c>
      <c r="F47" s="20" t="s">
        <v>728</v>
      </c>
      <c r="G47" s="20" t="s">
        <v>306</v>
      </c>
      <c r="H47" s="20" t="s">
        <v>109</v>
      </c>
      <c r="I47" s="21"/>
      <c r="J47" s="22"/>
      <c r="K47" s="21"/>
      <c r="L47" s="21"/>
      <c r="M47" s="21"/>
      <c r="N47" s="23" t="s">
        <v>5</v>
      </c>
      <c r="O47" s="24" t="s">
        <v>702</v>
      </c>
    </row>
    <row r="48" customFormat="false" ht="43.25" hidden="false" customHeight="false" outlineLevel="0" collapsed="false">
      <c r="A48" s="25" t="n">
        <v>36</v>
      </c>
      <c r="B48" s="25" t="s">
        <v>729</v>
      </c>
      <c r="C48" s="25" t="s">
        <v>302</v>
      </c>
      <c r="D48" s="25" t="s">
        <v>303</v>
      </c>
      <c r="E48" s="25" t="s">
        <v>304</v>
      </c>
      <c r="F48" s="25" t="s">
        <v>730</v>
      </c>
      <c r="G48" s="25" t="s">
        <v>306</v>
      </c>
      <c r="H48" s="25" t="s">
        <v>109</v>
      </c>
      <c r="I48" s="21"/>
      <c r="J48" s="22"/>
      <c r="K48" s="21"/>
      <c r="L48" s="21"/>
      <c r="M48" s="21"/>
      <c r="N48" s="23" t="s">
        <v>5</v>
      </c>
      <c r="O48" s="24" t="s">
        <v>399</v>
      </c>
    </row>
    <row r="49" customFormat="false" ht="32.8" hidden="false" customHeight="false" outlineLevel="0" collapsed="false">
      <c r="A49" s="20" t="n">
        <v>37</v>
      </c>
      <c r="B49" s="20" t="s">
        <v>731</v>
      </c>
      <c r="C49" s="20" t="s">
        <v>302</v>
      </c>
      <c r="D49" s="20" t="s">
        <v>303</v>
      </c>
      <c r="E49" s="20" t="s">
        <v>304</v>
      </c>
      <c r="F49" s="20" t="s">
        <v>732</v>
      </c>
      <c r="G49" s="20" t="s">
        <v>306</v>
      </c>
      <c r="H49" s="20" t="s">
        <v>109</v>
      </c>
      <c r="I49" s="21"/>
      <c r="J49" s="22"/>
      <c r="K49" s="21"/>
      <c r="L49" s="21"/>
      <c r="M49" s="21"/>
      <c r="N49" s="23" t="s">
        <v>5</v>
      </c>
      <c r="O49" s="24" t="s">
        <v>311</v>
      </c>
    </row>
    <row r="50" customFormat="false" ht="32.8" hidden="false" customHeight="false" outlineLevel="0" collapsed="false">
      <c r="A50" s="25" t="n">
        <v>38</v>
      </c>
      <c r="B50" s="25" t="s">
        <v>660</v>
      </c>
      <c r="C50" s="25" t="s">
        <v>302</v>
      </c>
      <c r="D50" s="25" t="s">
        <v>303</v>
      </c>
      <c r="E50" s="25" t="s">
        <v>304</v>
      </c>
      <c r="F50" s="25" t="s">
        <v>733</v>
      </c>
      <c r="G50" s="25" t="s">
        <v>306</v>
      </c>
      <c r="H50" s="25" t="s">
        <v>109</v>
      </c>
      <c r="I50" s="21"/>
      <c r="J50" s="22"/>
      <c r="K50" s="21"/>
      <c r="L50" s="21"/>
      <c r="M50" s="21"/>
      <c r="N50" s="23" t="s">
        <v>5</v>
      </c>
      <c r="O50" s="24" t="s">
        <v>734</v>
      </c>
    </row>
    <row r="51" customFormat="false" ht="32.8" hidden="false" customHeight="false" outlineLevel="0" collapsed="false">
      <c r="A51" s="20" t="n">
        <v>39</v>
      </c>
      <c r="B51" s="20" t="s">
        <v>666</v>
      </c>
      <c r="C51" s="20" t="s">
        <v>302</v>
      </c>
      <c r="D51" s="20" t="s">
        <v>303</v>
      </c>
      <c r="E51" s="20" t="s">
        <v>304</v>
      </c>
      <c r="F51" s="20" t="s">
        <v>735</v>
      </c>
      <c r="G51" s="20" t="s">
        <v>306</v>
      </c>
      <c r="H51" s="20" t="s">
        <v>109</v>
      </c>
      <c r="I51" s="21"/>
      <c r="J51" s="22"/>
      <c r="K51" s="21"/>
      <c r="L51" s="21"/>
      <c r="M51" s="21"/>
      <c r="N51" s="23" t="s">
        <v>5</v>
      </c>
      <c r="O51" s="24" t="s">
        <v>493</v>
      </c>
    </row>
    <row r="52" customFormat="false" ht="32.8" hidden="false" customHeight="false" outlineLevel="0" collapsed="false">
      <c r="A52" s="25" t="n">
        <v>40</v>
      </c>
      <c r="B52" s="25" t="s">
        <v>654</v>
      </c>
      <c r="C52" s="25" t="s">
        <v>302</v>
      </c>
      <c r="D52" s="25" t="s">
        <v>303</v>
      </c>
      <c r="E52" s="25" t="s">
        <v>304</v>
      </c>
      <c r="F52" s="25" t="s">
        <v>736</v>
      </c>
      <c r="G52" s="25" t="s">
        <v>306</v>
      </c>
      <c r="H52" s="25" t="s">
        <v>109</v>
      </c>
      <c r="I52" s="21"/>
      <c r="J52" s="22"/>
      <c r="K52" s="21"/>
      <c r="L52" s="21"/>
      <c r="M52" s="21"/>
      <c r="N52" s="23" t="s">
        <v>5</v>
      </c>
      <c r="O52" s="24" t="s">
        <v>493</v>
      </c>
    </row>
    <row r="53" customFormat="false" ht="32.8" hidden="false" customHeight="false" outlineLevel="0" collapsed="false">
      <c r="A53" s="20" t="n">
        <v>41</v>
      </c>
      <c r="B53" s="20" t="s">
        <v>737</v>
      </c>
      <c r="C53" s="20" t="s">
        <v>302</v>
      </c>
      <c r="D53" s="20" t="s">
        <v>303</v>
      </c>
      <c r="E53" s="20" t="s">
        <v>304</v>
      </c>
      <c r="F53" s="20" t="s">
        <v>738</v>
      </c>
      <c r="G53" s="20" t="s">
        <v>306</v>
      </c>
      <c r="H53" s="20" t="s">
        <v>109</v>
      </c>
      <c r="I53" s="21"/>
      <c r="J53" s="22"/>
      <c r="K53" s="21"/>
      <c r="L53" s="21"/>
      <c r="M53" s="21"/>
      <c r="N53" s="23" t="s">
        <v>5</v>
      </c>
      <c r="O53" s="24" t="s">
        <v>316</v>
      </c>
    </row>
    <row r="54" customFormat="false" ht="32.8" hidden="false" customHeight="false" outlineLevel="0" collapsed="false">
      <c r="A54" s="25" t="n">
        <v>42</v>
      </c>
      <c r="B54" s="25" t="s">
        <v>739</v>
      </c>
      <c r="C54" s="25" t="s">
        <v>302</v>
      </c>
      <c r="D54" s="25" t="s">
        <v>303</v>
      </c>
      <c r="E54" s="25" t="s">
        <v>304</v>
      </c>
      <c r="F54" s="25" t="s">
        <v>740</v>
      </c>
      <c r="G54" s="25" t="s">
        <v>306</v>
      </c>
      <c r="H54" s="25" t="s">
        <v>109</v>
      </c>
      <c r="I54" s="21"/>
      <c r="J54" s="22"/>
      <c r="K54" s="21"/>
      <c r="L54" s="21"/>
      <c r="M54" s="21"/>
      <c r="N54" s="23" t="s">
        <v>5</v>
      </c>
      <c r="O54" s="24" t="s">
        <v>741</v>
      </c>
    </row>
    <row r="55" customFormat="false" ht="43.25" hidden="false" customHeight="false" outlineLevel="0" collapsed="false">
      <c r="A55" s="20" t="n">
        <v>43</v>
      </c>
      <c r="B55" s="20" t="s">
        <v>742</v>
      </c>
      <c r="C55" s="20" t="s">
        <v>302</v>
      </c>
      <c r="D55" s="20" t="s">
        <v>303</v>
      </c>
      <c r="E55" s="20" t="s">
        <v>304</v>
      </c>
      <c r="F55" s="20" t="s">
        <v>743</v>
      </c>
      <c r="G55" s="20" t="s">
        <v>306</v>
      </c>
      <c r="H55" s="20" t="s">
        <v>109</v>
      </c>
      <c r="I55" s="21"/>
      <c r="J55" s="22"/>
      <c r="K55" s="21"/>
      <c r="L55" s="21"/>
      <c r="M55" s="21"/>
      <c r="N55" s="23" t="s">
        <v>187</v>
      </c>
      <c r="O55" s="24" t="s">
        <v>387</v>
      </c>
    </row>
    <row r="56" customFormat="false" ht="32.8" hidden="false" customHeight="false" outlineLevel="0" collapsed="false">
      <c r="A56" s="25" t="n">
        <v>44</v>
      </c>
      <c r="B56" s="25" t="s">
        <v>744</v>
      </c>
      <c r="C56" s="25" t="s">
        <v>302</v>
      </c>
      <c r="D56" s="25" t="s">
        <v>303</v>
      </c>
      <c r="E56" s="25" t="s">
        <v>304</v>
      </c>
      <c r="F56" s="25" t="s">
        <v>745</v>
      </c>
      <c r="G56" s="25" t="s">
        <v>306</v>
      </c>
      <c r="H56" s="25" t="s">
        <v>109</v>
      </c>
      <c r="I56" s="21"/>
      <c r="J56" s="22"/>
      <c r="K56" s="21"/>
      <c r="L56" s="21"/>
      <c r="M56" s="21"/>
      <c r="N56" s="23" t="s">
        <v>5</v>
      </c>
      <c r="O56" s="24" t="s">
        <v>307</v>
      </c>
    </row>
    <row r="57" customFormat="false" ht="43.25" hidden="false" customHeight="false" outlineLevel="0" collapsed="false">
      <c r="A57" s="20" t="n">
        <v>45</v>
      </c>
      <c r="B57" s="20" t="s">
        <v>746</v>
      </c>
      <c r="C57" s="20" t="s">
        <v>302</v>
      </c>
      <c r="D57" s="20" t="s">
        <v>303</v>
      </c>
      <c r="E57" s="20" t="s">
        <v>304</v>
      </c>
      <c r="F57" s="20" t="s">
        <v>747</v>
      </c>
      <c r="G57" s="20" t="s">
        <v>306</v>
      </c>
      <c r="H57" s="20" t="s">
        <v>109</v>
      </c>
      <c r="I57" s="21"/>
      <c r="J57" s="22"/>
      <c r="K57" s="21"/>
      <c r="L57" s="21"/>
      <c r="M57" s="21"/>
      <c r="N57" s="23" t="s">
        <v>5</v>
      </c>
      <c r="O57" s="24" t="s">
        <v>489</v>
      </c>
    </row>
    <row r="58" customFormat="false" ht="43.25" hidden="false" customHeight="false" outlineLevel="0" collapsed="false">
      <c r="A58" s="25" t="n">
        <v>46</v>
      </c>
      <c r="B58" s="25" t="s">
        <v>748</v>
      </c>
      <c r="C58" s="25" t="s">
        <v>302</v>
      </c>
      <c r="D58" s="25" t="s">
        <v>303</v>
      </c>
      <c r="E58" s="25" t="s">
        <v>304</v>
      </c>
      <c r="F58" s="25" t="s">
        <v>749</v>
      </c>
      <c r="G58" s="25" t="s">
        <v>306</v>
      </c>
      <c r="H58" s="25" t="s">
        <v>109</v>
      </c>
      <c r="I58" s="21"/>
      <c r="J58" s="22"/>
      <c r="K58" s="21"/>
      <c r="L58" s="21"/>
      <c r="M58" s="21"/>
      <c r="N58" s="23" t="s">
        <v>5</v>
      </c>
      <c r="O58" s="24" t="s">
        <v>679</v>
      </c>
    </row>
  </sheetData>
  <autoFilter ref="A12:O58"/>
  <mergeCells count="6">
    <mergeCell ref="A1:O1"/>
    <mergeCell ref="I5:O5"/>
    <mergeCell ref="I6:O6"/>
    <mergeCell ref="I7:O7"/>
    <mergeCell ref="I8:O8"/>
    <mergeCell ref="I9:O9"/>
  </mergeCells>
  <conditionalFormatting sqref="K13:K258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58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58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58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750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COUNTA($A$13:$A$47)</f>
        <v>35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C5-COUNTIF($K$13:$K$47,"OK")-COUNTIF($K$13:$K$47,"KO")-COUNTIF($K$13:$K$47,"Bloqué")-COUNTIF($K$13:$K$47,"N/A")</f>
        <v>35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COUNTIF($K$13:$K$47,"OK")</f>
        <v>0</v>
      </c>
      <c r="D7" s="18" t="n">
        <f aca="false">IF($C$5=0,0,C7/$C$5)</f>
        <v>0</v>
      </c>
      <c r="E7" s="16" t="s">
        <v>66</v>
      </c>
      <c r="G7" s="17" t="n">
        <f aca="false">COUNTIFS($K$13:$K$47,"KO",$H$13:$H$47,"Haute")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COUNTIF($K$13:$K$47,"KO")</f>
        <v>0</v>
      </c>
      <c r="D8" s="18" t="n">
        <f aca="false">IF($C$5=0,0,C8/$C$5)</f>
        <v>0</v>
      </c>
      <c r="E8" s="16" t="s">
        <v>68</v>
      </c>
      <c r="G8" s="17" t="str">
        <f aca="false">COUNTIF(N13:N47,"OK")&amp;" / "&amp;COUNTIF(N13:N47,"OK PARTIEL")&amp;" / "&amp;COUNTIF(N13:N47,"KO")&amp;" / "&amp;COUNTIF(N13:N47,"NON EXÉCUTÉ")</f>
        <v>31 / 2 / 0 / 2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COUNTIF($K$13:$K$47,"Bloqué")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COUNTIF($K$13:$K$47,"N/A")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53.7" hidden="false" customHeight="false" outlineLevel="0" collapsed="false">
      <c r="A13" s="20" t="n">
        <v>1</v>
      </c>
      <c r="B13" s="20" t="s">
        <v>751</v>
      </c>
      <c r="C13" s="20" t="s">
        <v>87</v>
      </c>
      <c r="D13" s="20" t="s">
        <v>752</v>
      </c>
      <c r="E13" s="20" t="s">
        <v>753</v>
      </c>
      <c r="F13" s="20" t="s">
        <v>754</v>
      </c>
      <c r="G13" s="20" t="s">
        <v>755</v>
      </c>
      <c r="H13" s="20" t="s">
        <v>92</v>
      </c>
      <c r="I13" s="21"/>
      <c r="J13" s="22"/>
      <c r="K13" s="21"/>
      <c r="L13" s="21"/>
      <c r="M13" s="21"/>
      <c r="N13" s="23" t="s">
        <v>114</v>
      </c>
      <c r="O13" s="24" t="s">
        <v>756</v>
      </c>
    </row>
    <row r="14" customFormat="false" ht="22.35" hidden="false" customHeight="false" outlineLevel="0" collapsed="false">
      <c r="A14" s="25" t="n">
        <v>2</v>
      </c>
      <c r="B14" s="25" t="s">
        <v>751</v>
      </c>
      <c r="C14" s="25" t="s">
        <v>94</v>
      </c>
      <c r="D14" s="25" t="s">
        <v>757</v>
      </c>
      <c r="E14" s="25" t="s">
        <v>758</v>
      </c>
      <c r="F14" s="25" t="s">
        <v>759</v>
      </c>
      <c r="G14" s="25" t="s">
        <v>760</v>
      </c>
      <c r="H14" s="25" t="s">
        <v>92</v>
      </c>
      <c r="I14" s="21"/>
      <c r="J14" s="22"/>
      <c r="K14" s="21"/>
      <c r="L14" s="21"/>
      <c r="M14" s="21"/>
      <c r="N14" s="23" t="s">
        <v>187</v>
      </c>
      <c r="O14" s="24" t="s">
        <v>761</v>
      </c>
    </row>
    <row r="15" customFormat="false" ht="32.8" hidden="false" customHeight="false" outlineLevel="0" collapsed="false">
      <c r="A15" s="20" t="n">
        <v>3</v>
      </c>
      <c r="B15" s="20" t="s">
        <v>762</v>
      </c>
      <c r="C15" s="20" t="s">
        <v>87</v>
      </c>
      <c r="D15" s="20" t="s">
        <v>763</v>
      </c>
      <c r="E15" s="20" t="s">
        <v>291</v>
      </c>
      <c r="F15" s="20" t="s">
        <v>764</v>
      </c>
      <c r="G15" s="20" t="s">
        <v>765</v>
      </c>
      <c r="H15" s="20" t="s">
        <v>109</v>
      </c>
      <c r="I15" s="21"/>
      <c r="J15" s="22"/>
      <c r="K15" s="21"/>
      <c r="L15" s="21"/>
      <c r="M15" s="21"/>
      <c r="N15" s="23" t="s">
        <v>114</v>
      </c>
      <c r="O15" s="24" t="s">
        <v>766</v>
      </c>
    </row>
    <row r="16" customFormat="false" ht="15" hidden="false" customHeight="false" outlineLevel="0" collapsed="false">
      <c r="A16" s="25" t="n">
        <v>4</v>
      </c>
      <c r="B16" s="25" t="s">
        <v>767</v>
      </c>
      <c r="C16" s="25" t="s">
        <v>87</v>
      </c>
      <c r="D16" s="25" t="s">
        <v>768</v>
      </c>
      <c r="E16" s="25" t="s">
        <v>453</v>
      </c>
      <c r="F16" s="25" t="s">
        <v>769</v>
      </c>
      <c r="G16" s="25" t="s">
        <v>770</v>
      </c>
      <c r="H16" s="25" t="s">
        <v>218</v>
      </c>
      <c r="I16" s="21"/>
      <c r="J16" s="22"/>
      <c r="K16" s="21"/>
      <c r="L16" s="21"/>
      <c r="M16" s="21"/>
      <c r="N16" s="23" t="s">
        <v>187</v>
      </c>
      <c r="O16" s="24" t="s">
        <v>771</v>
      </c>
    </row>
    <row r="17" customFormat="false" ht="43.25" hidden="false" customHeight="false" outlineLevel="0" collapsed="false">
      <c r="A17" s="20" t="n">
        <v>5</v>
      </c>
      <c r="B17" s="20" t="s">
        <v>772</v>
      </c>
      <c r="C17" s="20" t="s">
        <v>302</v>
      </c>
      <c r="D17" s="20" t="s">
        <v>303</v>
      </c>
      <c r="E17" s="20" t="s">
        <v>304</v>
      </c>
      <c r="F17" s="20" t="s">
        <v>773</v>
      </c>
      <c r="G17" s="20" t="s">
        <v>306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694</v>
      </c>
    </row>
    <row r="18" customFormat="false" ht="32.8" hidden="false" customHeight="false" outlineLevel="0" collapsed="false">
      <c r="A18" s="25" t="n">
        <v>6</v>
      </c>
      <c r="B18" s="25" t="s">
        <v>774</v>
      </c>
      <c r="C18" s="25" t="s">
        <v>302</v>
      </c>
      <c r="D18" s="25" t="s">
        <v>303</v>
      </c>
      <c r="E18" s="25" t="s">
        <v>304</v>
      </c>
      <c r="F18" s="25" t="s">
        <v>775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5</v>
      </c>
      <c r="O18" s="24" t="s">
        <v>741</v>
      </c>
    </row>
    <row r="19" customFormat="false" ht="32.8" hidden="false" customHeight="false" outlineLevel="0" collapsed="false">
      <c r="A19" s="20" t="n">
        <v>7</v>
      </c>
      <c r="B19" s="20" t="s">
        <v>762</v>
      </c>
      <c r="C19" s="20" t="s">
        <v>302</v>
      </c>
      <c r="D19" s="20" t="s">
        <v>303</v>
      </c>
      <c r="E19" s="20" t="s">
        <v>304</v>
      </c>
      <c r="F19" s="20" t="s">
        <v>776</v>
      </c>
      <c r="G19" s="20" t="s">
        <v>306</v>
      </c>
      <c r="H19" s="20" t="s">
        <v>218</v>
      </c>
      <c r="I19" s="21"/>
      <c r="J19" s="22"/>
      <c r="K19" s="21"/>
      <c r="L19" s="21"/>
      <c r="M19" s="21"/>
      <c r="N19" s="23" t="s">
        <v>5</v>
      </c>
      <c r="O19" s="24" t="s">
        <v>316</v>
      </c>
    </row>
    <row r="20" customFormat="false" ht="32.8" hidden="false" customHeight="false" outlineLevel="0" collapsed="false">
      <c r="A20" s="25" t="n">
        <v>8</v>
      </c>
      <c r="B20" s="25" t="s">
        <v>767</v>
      </c>
      <c r="C20" s="25" t="s">
        <v>302</v>
      </c>
      <c r="D20" s="25" t="s">
        <v>303</v>
      </c>
      <c r="E20" s="25" t="s">
        <v>304</v>
      </c>
      <c r="F20" s="25" t="s">
        <v>777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307</v>
      </c>
    </row>
    <row r="21" customFormat="false" ht="32.8" hidden="false" customHeight="false" outlineLevel="0" collapsed="false">
      <c r="A21" s="20" t="n">
        <v>9</v>
      </c>
      <c r="B21" s="20" t="s">
        <v>778</v>
      </c>
      <c r="C21" s="20" t="s">
        <v>302</v>
      </c>
      <c r="D21" s="20" t="s">
        <v>303</v>
      </c>
      <c r="E21" s="20" t="s">
        <v>304</v>
      </c>
      <c r="F21" s="20" t="s">
        <v>779</v>
      </c>
      <c r="G21" s="20" t="s">
        <v>306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316</v>
      </c>
    </row>
    <row r="22" customFormat="false" ht="32.8" hidden="false" customHeight="false" outlineLevel="0" collapsed="false">
      <c r="A22" s="25" t="n">
        <v>10</v>
      </c>
      <c r="B22" s="25" t="s">
        <v>780</v>
      </c>
      <c r="C22" s="25" t="s">
        <v>302</v>
      </c>
      <c r="D22" s="25" t="s">
        <v>303</v>
      </c>
      <c r="E22" s="25" t="s">
        <v>304</v>
      </c>
      <c r="F22" s="25" t="s">
        <v>781</v>
      </c>
      <c r="G22" s="25" t="s">
        <v>306</v>
      </c>
      <c r="H22" s="25" t="s">
        <v>218</v>
      </c>
      <c r="I22" s="21"/>
      <c r="J22" s="22"/>
      <c r="K22" s="21"/>
      <c r="L22" s="21"/>
      <c r="M22" s="21"/>
      <c r="N22" s="23" t="s">
        <v>5</v>
      </c>
      <c r="O22" s="24" t="s">
        <v>311</v>
      </c>
    </row>
    <row r="23" customFormat="false" ht="43.25" hidden="false" customHeight="false" outlineLevel="0" collapsed="false">
      <c r="A23" s="20" t="n">
        <v>11</v>
      </c>
      <c r="B23" s="20" t="s">
        <v>782</v>
      </c>
      <c r="C23" s="20" t="s">
        <v>302</v>
      </c>
      <c r="D23" s="20" t="s">
        <v>303</v>
      </c>
      <c r="E23" s="20" t="s">
        <v>304</v>
      </c>
      <c r="F23" s="20" t="s">
        <v>783</v>
      </c>
      <c r="G23" s="20" t="s">
        <v>306</v>
      </c>
      <c r="H23" s="20" t="s">
        <v>218</v>
      </c>
      <c r="I23" s="21"/>
      <c r="J23" s="22"/>
      <c r="K23" s="21"/>
      <c r="L23" s="21"/>
      <c r="M23" s="21"/>
      <c r="N23" s="23" t="s">
        <v>5</v>
      </c>
      <c r="O23" s="24" t="s">
        <v>326</v>
      </c>
    </row>
    <row r="24" customFormat="false" ht="43.25" hidden="false" customHeight="false" outlineLevel="0" collapsed="false">
      <c r="A24" s="25" t="n">
        <v>12</v>
      </c>
      <c r="B24" s="25" t="s">
        <v>784</v>
      </c>
      <c r="C24" s="25" t="s">
        <v>302</v>
      </c>
      <c r="D24" s="25" t="s">
        <v>303</v>
      </c>
      <c r="E24" s="25" t="s">
        <v>304</v>
      </c>
      <c r="F24" s="25" t="s">
        <v>785</v>
      </c>
      <c r="G24" s="25" t="s">
        <v>306</v>
      </c>
      <c r="H24" s="25" t="s">
        <v>218</v>
      </c>
      <c r="I24" s="21"/>
      <c r="J24" s="22"/>
      <c r="K24" s="21"/>
      <c r="L24" s="21"/>
      <c r="M24" s="21"/>
      <c r="N24" s="23" t="s">
        <v>5</v>
      </c>
      <c r="O24" s="24" t="s">
        <v>694</v>
      </c>
    </row>
    <row r="25" customFormat="false" ht="32.8" hidden="false" customHeight="false" outlineLevel="0" collapsed="false">
      <c r="A25" s="20" t="n">
        <v>13</v>
      </c>
      <c r="B25" s="20" t="s">
        <v>786</v>
      </c>
      <c r="C25" s="20" t="s">
        <v>302</v>
      </c>
      <c r="D25" s="20" t="s">
        <v>303</v>
      </c>
      <c r="E25" s="20" t="s">
        <v>304</v>
      </c>
      <c r="F25" s="20" t="s">
        <v>787</v>
      </c>
      <c r="G25" s="20" t="s">
        <v>306</v>
      </c>
      <c r="H25" s="20" t="s">
        <v>218</v>
      </c>
      <c r="I25" s="21"/>
      <c r="J25" s="22"/>
      <c r="K25" s="21"/>
      <c r="L25" s="21"/>
      <c r="M25" s="21"/>
      <c r="N25" s="23" t="s">
        <v>5</v>
      </c>
      <c r="O25" s="24" t="s">
        <v>392</v>
      </c>
    </row>
    <row r="26" customFormat="false" ht="43.25" hidden="false" customHeight="false" outlineLevel="0" collapsed="false">
      <c r="A26" s="25" t="n">
        <v>14</v>
      </c>
      <c r="B26" s="25" t="s">
        <v>788</v>
      </c>
      <c r="C26" s="25" t="s">
        <v>302</v>
      </c>
      <c r="D26" s="25" t="s">
        <v>303</v>
      </c>
      <c r="E26" s="25" t="s">
        <v>304</v>
      </c>
      <c r="F26" s="25" t="s">
        <v>789</v>
      </c>
      <c r="G26" s="25" t="s">
        <v>306</v>
      </c>
      <c r="H26" s="25" t="s">
        <v>218</v>
      </c>
      <c r="I26" s="21"/>
      <c r="J26" s="22"/>
      <c r="K26" s="21"/>
      <c r="L26" s="21"/>
      <c r="M26" s="21"/>
      <c r="N26" s="23" t="s">
        <v>5</v>
      </c>
      <c r="O26" s="24" t="s">
        <v>326</v>
      </c>
    </row>
    <row r="27" customFormat="false" ht="43.25" hidden="false" customHeight="false" outlineLevel="0" collapsed="false">
      <c r="A27" s="20" t="n">
        <v>15</v>
      </c>
      <c r="B27" s="20" t="s">
        <v>790</v>
      </c>
      <c r="C27" s="20" t="s">
        <v>302</v>
      </c>
      <c r="D27" s="20" t="s">
        <v>303</v>
      </c>
      <c r="E27" s="20" t="s">
        <v>304</v>
      </c>
      <c r="F27" s="20" t="s">
        <v>791</v>
      </c>
      <c r="G27" s="20" t="s">
        <v>306</v>
      </c>
      <c r="H27" s="20" t="s">
        <v>218</v>
      </c>
      <c r="I27" s="21"/>
      <c r="J27" s="22"/>
      <c r="K27" s="21"/>
      <c r="L27" s="21"/>
      <c r="M27" s="21"/>
      <c r="N27" s="23" t="s">
        <v>5</v>
      </c>
      <c r="O27" s="24" t="s">
        <v>329</v>
      </c>
    </row>
    <row r="28" customFormat="false" ht="32.8" hidden="false" customHeight="false" outlineLevel="0" collapsed="false">
      <c r="A28" s="25" t="n">
        <v>16</v>
      </c>
      <c r="B28" s="25" t="s">
        <v>792</v>
      </c>
      <c r="C28" s="25" t="s">
        <v>302</v>
      </c>
      <c r="D28" s="25" t="s">
        <v>303</v>
      </c>
      <c r="E28" s="25" t="s">
        <v>304</v>
      </c>
      <c r="F28" s="25" t="s">
        <v>793</v>
      </c>
      <c r="G28" s="25" t="s">
        <v>306</v>
      </c>
      <c r="H28" s="25" t="s">
        <v>218</v>
      </c>
      <c r="I28" s="21"/>
      <c r="J28" s="22"/>
      <c r="K28" s="21"/>
      <c r="L28" s="21"/>
      <c r="M28" s="21"/>
      <c r="N28" s="23" t="s">
        <v>5</v>
      </c>
      <c r="O28" s="24" t="s">
        <v>392</v>
      </c>
    </row>
    <row r="29" customFormat="false" ht="43.25" hidden="false" customHeight="false" outlineLevel="0" collapsed="false">
      <c r="A29" s="20" t="n">
        <v>17</v>
      </c>
      <c r="B29" s="20" t="s">
        <v>794</v>
      </c>
      <c r="C29" s="20" t="s">
        <v>302</v>
      </c>
      <c r="D29" s="20" t="s">
        <v>303</v>
      </c>
      <c r="E29" s="20" t="s">
        <v>304</v>
      </c>
      <c r="F29" s="20" t="s">
        <v>795</v>
      </c>
      <c r="G29" s="20" t="s">
        <v>306</v>
      </c>
      <c r="H29" s="20" t="s">
        <v>218</v>
      </c>
      <c r="I29" s="21"/>
      <c r="J29" s="22"/>
      <c r="K29" s="21"/>
      <c r="L29" s="21"/>
      <c r="M29" s="21"/>
      <c r="N29" s="23" t="s">
        <v>5</v>
      </c>
      <c r="O29" s="24" t="s">
        <v>326</v>
      </c>
    </row>
    <row r="30" customFormat="false" ht="32.8" hidden="false" customHeight="false" outlineLevel="0" collapsed="false">
      <c r="A30" s="25" t="n">
        <v>18</v>
      </c>
      <c r="B30" s="25" t="s">
        <v>796</v>
      </c>
      <c r="C30" s="25" t="s">
        <v>302</v>
      </c>
      <c r="D30" s="25" t="s">
        <v>303</v>
      </c>
      <c r="E30" s="25" t="s">
        <v>304</v>
      </c>
      <c r="F30" s="25" t="s">
        <v>797</v>
      </c>
      <c r="G30" s="25" t="s">
        <v>306</v>
      </c>
      <c r="H30" s="25" t="s">
        <v>218</v>
      </c>
      <c r="I30" s="21"/>
      <c r="J30" s="22"/>
      <c r="K30" s="21"/>
      <c r="L30" s="21"/>
      <c r="M30" s="21"/>
      <c r="N30" s="23" t="s">
        <v>5</v>
      </c>
      <c r="O30" s="24" t="s">
        <v>392</v>
      </c>
    </row>
    <row r="31" customFormat="false" ht="43.25" hidden="false" customHeight="false" outlineLevel="0" collapsed="false">
      <c r="A31" s="20" t="n">
        <v>19</v>
      </c>
      <c r="B31" s="20" t="s">
        <v>798</v>
      </c>
      <c r="C31" s="20" t="s">
        <v>302</v>
      </c>
      <c r="D31" s="20" t="s">
        <v>303</v>
      </c>
      <c r="E31" s="20" t="s">
        <v>304</v>
      </c>
      <c r="F31" s="20" t="s">
        <v>799</v>
      </c>
      <c r="G31" s="20" t="s">
        <v>306</v>
      </c>
      <c r="H31" s="20" t="s">
        <v>218</v>
      </c>
      <c r="I31" s="21"/>
      <c r="J31" s="22"/>
      <c r="K31" s="21"/>
      <c r="L31" s="21"/>
      <c r="M31" s="21"/>
      <c r="N31" s="23" t="s">
        <v>5</v>
      </c>
      <c r="O31" s="24" t="s">
        <v>326</v>
      </c>
    </row>
    <row r="32" customFormat="false" ht="43.25" hidden="false" customHeight="false" outlineLevel="0" collapsed="false">
      <c r="A32" s="25" t="n">
        <v>20</v>
      </c>
      <c r="B32" s="25" t="s">
        <v>800</v>
      </c>
      <c r="C32" s="25" t="s">
        <v>302</v>
      </c>
      <c r="D32" s="25" t="s">
        <v>303</v>
      </c>
      <c r="E32" s="25" t="s">
        <v>304</v>
      </c>
      <c r="F32" s="25" t="s">
        <v>801</v>
      </c>
      <c r="G32" s="25" t="s">
        <v>306</v>
      </c>
      <c r="H32" s="25" t="s">
        <v>218</v>
      </c>
      <c r="I32" s="21"/>
      <c r="J32" s="22"/>
      <c r="K32" s="21"/>
      <c r="L32" s="21"/>
      <c r="M32" s="21"/>
      <c r="N32" s="23" t="s">
        <v>5</v>
      </c>
      <c r="O32" s="24" t="s">
        <v>802</v>
      </c>
    </row>
    <row r="33" customFormat="false" ht="43.25" hidden="false" customHeight="false" outlineLevel="0" collapsed="false">
      <c r="A33" s="20" t="n">
        <v>21</v>
      </c>
      <c r="B33" s="20" t="s">
        <v>803</v>
      </c>
      <c r="C33" s="20" t="s">
        <v>302</v>
      </c>
      <c r="D33" s="20" t="s">
        <v>303</v>
      </c>
      <c r="E33" s="20" t="s">
        <v>304</v>
      </c>
      <c r="F33" s="20" t="s">
        <v>804</v>
      </c>
      <c r="G33" s="20" t="s">
        <v>306</v>
      </c>
      <c r="H33" s="20" t="s">
        <v>218</v>
      </c>
      <c r="I33" s="21"/>
      <c r="J33" s="22"/>
      <c r="K33" s="21"/>
      <c r="L33" s="21"/>
      <c r="M33" s="21"/>
      <c r="N33" s="23" t="s">
        <v>5</v>
      </c>
      <c r="O33" s="24" t="s">
        <v>329</v>
      </c>
    </row>
    <row r="34" customFormat="false" ht="43.25" hidden="false" customHeight="false" outlineLevel="0" collapsed="false">
      <c r="A34" s="25" t="n">
        <v>22</v>
      </c>
      <c r="B34" s="25" t="s">
        <v>805</v>
      </c>
      <c r="C34" s="25" t="s">
        <v>302</v>
      </c>
      <c r="D34" s="25" t="s">
        <v>303</v>
      </c>
      <c r="E34" s="25" t="s">
        <v>304</v>
      </c>
      <c r="F34" s="25" t="s">
        <v>806</v>
      </c>
      <c r="G34" s="25" t="s">
        <v>306</v>
      </c>
      <c r="H34" s="25" t="s">
        <v>218</v>
      </c>
      <c r="I34" s="21"/>
      <c r="J34" s="22"/>
      <c r="K34" s="21"/>
      <c r="L34" s="21"/>
      <c r="M34" s="21"/>
      <c r="N34" s="23" t="s">
        <v>5</v>
      </c>
      <c r="O34" s="24" t="s">
        <v>679</v>
      </c>
    </row>
    <row r="35" customFormat="false" ht="43.25" hidden="false" customHeight="false" outlineLevel="0" collapsed="false">
      <c r="A35" s="20" t="n">
        <v>23</v>
      </c>
      <c r="B35" s="20" t="s">
        <v>807</v>
      </c>
      <c r="C35" s="20" t="s">
        <v>302</v>
      </c>
      <c r="D35" s="20" t="s">
        <v>303</v>
      </c>
      <c r="E35" s="20" t="s">
        <v>304</v>
      </c>
      <c r="F35" s="20" t="s">
        <v>808</v>
      </c>
      <c r="G35" s="20" t="s">
        <v>306</v>
      </c>
      <c r="H35" s="20" t="s">
        <v>218</v>
      </c>
      <c r="I35" s="21"/>
      <c r="J35" s="22"/>
      <c r="K35" s="21"/>
      <c r="L35" s="21"/>
      <c r="M35" s="21"/>
      <c r="N35" s="23" t="s">
        <v>5</v>
      </c>
      <c r="O35" s="24" t="s">
        <v>329</v>
      </c>
    </row>
    <row r="36" customFormat="false" ht="32.8" hidden="false" customHeight="false" outlineLevel="0" collapsed="false">
      <c r="A36" s="25" t="n">
        <v>24</v>
      </c>
      <c r="B36" s="25" t="s">
        <v>809</v>
      </c>
      <c r="C36" s="25" t="s">
        <v>302</v>
      </c>
      <c r="D36" s="25" t="s">
        <v>303</v>
      </c>
      <c r="E36" s="25" t="s">
        <v>304</v>
      </c>
      <c r="F36" s="25" t="s">
        <v>810</v>
      </c>
      <c r="G36" s="25" t="s">
        <v>306</v>
      </c>
      <c r="H36" s="25" t="s">
        <v>218</v>
      </c>
      <c r="I36" s="21"/>
      <c r="J36" s="22"/>
      <c r="K36" s="21"/>
      <c r="L36" s="21"/>
      <c r="M36" s="21"/>
      <c r="N36" s="23" t="s">
        <v>5</v>
      </c>
      <c r="O36" s="24" t="s">
        <v>392</v>
      </c>
    </row>
    <row r="37" customFormat="false" ht="43.25" hidden="false" customHeight="false" outlineLevel="0" collapsed="false">
      <c r="A37" s="20" t="n">
        <v>25</v>
      </c>
      <c r="B37" s="20" t="s">
        <v>811</v>
      </c>
      <c r="C37" s="20" t="s">
        <v>302</v>
      </c>
      <c r="D37" s="20" t="s">
        <v>303</v>
      </c>
      <c r="E37" s="20" t="s">
        <v>304</v>
      </c>
      <c r="F37" s="20" t="s">
        <v>812</v>
      </c>
      <c r="G37" s="20" t="s">
        <v>306</v>
      </c>
      <c r="H37" s="20" t="s">
        <v>218</v>
      </c>
      <c r="I37" s="21"/>
      <c r="J37" s="22"/>
      <c r="K37" s="21"/>
      <c r="L37" s="21"/>
      <c r="M37" s="21"/>
      <c r="N37" s="23" t="s">
        <v>5</v>
      </c>
      <c r="O37" s="24" t="s">
        <v>326</v>
      </c>
    </row>
    <row r="38" customFormat="false" ht="32.8" hidden="false" customHeight="false" outlineLevel="0" collapsed="false">
      <c r="A38" s="25" t="n">
        <v>26</v>
      </c>
      <c r="B38" s="25" t="s">
        <v>813</v>
      </c>
      <c r="C38" s="25" t="s">
        <v>302</v>
      </c>
      <c r="D38" s="25" t="s">
        <v>303</v>
      </c>
      <c r="E38" s="25" t="s">
        <v>304</v>
      </c>
      <c r="F38" s="25" t="s">
        <v>814</v>
      </c>
      <c r="G38" s="25" t="s">
        <v>306</v>
      </c>
      <c r="H38" s="25" t="s">
        <v>218</v>
      </c>
      <c r="I38" s="21"/>
      <c r="J38" s="22"/>
      <c r="K38" s="21"/>
      <c r="L38" s="21"/>
      <c r="M38" s="21"/>
      <c r="N38" s="23" t="s">
        <v>5</v>
      </c>
      <c r="O38" s="24" t="s">
        <v>399</v>
      </c>
    </row>
    <row r="39" customFormat="false" ht="43.25" hidden="false" customHeight="false" outlineLevel="0" collapsed="false">
      <c r="A39" s="20" t="n">
        <v>27</v>
      </c>
      <c r="B39" s="20" t="s">
        <v>815</v>
      </c>
      <c r="C39" s="20" t="s">
        <v>302</v>
      </c>
      <c r="D39" s="20" t="s">
        <v>303</v>
      </c>
      <c r="E39" s="20" t="s">
        <v>304</v>
      </c>
      <c r="F39" s="20" t="s">
        <v>816</v>
      </c>
      <c r="G39" s="20" t="s">
        <v>306</v>
      </c>
      <c r="H39" s="20" t="s">
        <v>218</v>
      </c>
      <c r="I39" s="21"/>
      <c r="J39" s="22"/>
      <c r="K39" s="21"/>
      <c r="L39" s="21"/>
      <c r="M39" s="21"/>
      <c r="N39" s="23" t="s">
        <v>5</v>
      </c>
      <c r="O39" s="24" t="s">
        <v>379</v>
      </c>
    </row>
    <row r="40" customFormat="false" ht="32.8" hidden="false" customHeight="false" outlineLevel="0" collapsed="false">
      <c r="A40" s="25" t="n">
        <v>28</v>
      </c>
      <c r="B40" s="25" t="s">
        <v>817</v>
      </c>
      <c r="C40" s="25" t="s">
        <v>302</v>
      </c>
      <c r="D40" s="25" t="s">
        <v>303</v>
      </c>
      <c r="E40" s="25" t="s">
        <v>304</v>
      </c>
      <c r="F40" s="25" t="s">
        <v>818</v>
      </c>
      <c r="G40" s="25" t="s">
        <v>306</v>
      </c>
      <c r="H40" s="25" t="s">
        <v>218</v>
      </c>
      <c r="I40" s="21"/>
      <c r="J40" s="22"/>
      <c r="K40" s="21"/>
      <c r="L40" s="21"/>
      <c r="M40" s="21"/>
      <c r="N40" s="23" t="s">
        <v>5</v>
      </c>
      <c r="O40" s="24" t="s">
        <v>392</v>
      </c>
    </row>
    <row r="41" customFormat="false" ht="43.25" hidden="false" customHeight="false" outlineLevel="0" collapsed="false">
      <c r="A41" s="20" t="n">
        <v>29</v>
      </c>
      <c r="B41" s="20" t="s">
        <v>819</v>
      </c>
      <c r="C41" s="20" t="s">
        <v>302</v>
      </c>
      <c r="D41" s="20" t="s">
        <v>303</v>
      </c>
      <c r="E41" s="20" t="s">
        <v>304</v>
      </c>
      <c r="F41" s="20" t="s">
        <v>820</v>
      </c>
      <c r="G41" s="20" t="s">
        <v>306</v>
      </c>
      <c r="H41" s="20" t="s">
        <v>218</v>
      </c>
      <c r="I41" s="21"/>
      <c r="J41" s="22"/>
      <c r="K41" s="21"/>
      <c r="L41" s="21"/>
      <c r="M41" s="21"/>
      <c r="N41" s="23" t="s">
        <v>5</v>
      </c>
      <c r="O41" s="24" t="s">
        <v>326</v>
      </c>
    </row>
    <row r="42" customFormat="false" ht="43.25" hidden="false" customHeight="false" outlineLevel="0" collapsed="false">
      <c r="A42" s="25" t="n">
        <v>30</v>
      </c>
      <c r="B42" s="25" t="s">
        <v>821</v>
      </c>
      <c r="C42" s="25" t="s">
        <v>302</v>
      </c>
      <c r="D42" s="25" t="s">
        <v>303</v>
      </c>
      <c r="E42" s="25" t="s">
        <v>304</v>
      </c>
      <c r="F42" s="25" t="s">
        <v>822</v>
      </c>
      <c r="G42" s="25" t="s">
        <v>306</v>
      </c>
      <c r="H42" s="25" t="s">
        <v>218</v>
      </c>
      <c r="I42" s="21"/>
      <c r="J42" s="22"/>
      <c r="K42" s="21"/>
      <c r="L42" s="21"/>
      <c r="M42" s="21"/>
      <c r="N42" s="23" t="s">
        <v>5</v>
      </c>
      <c r="O42" s="24" t="s">
        <v>329</v>
      </c>
    </row>
    <row r="43" customFormat="false" ht="43.25" hidden="false" customHeight="false" outlineLevel="0" collapsed="false">
      <c r="A43" s="20" t="n">
        <v>31</v>
      </c>
      <c r="B43" s="20" t="s">
        <v>823</v>
      </c>
      <c r="C43" s="20" t="s">
        <v>302</v>
      </c>
      <c r="D43" s="20" t="s">
        <v>303</v>
      </c>
      <c r="E43" s="20" t="s">
        <v>304</v>
      </c>
      <c r="F43" s="20" t="s">
        <v>824</v>
      </c>
      <c r="G43" s="20" t="s">
        <v>306</v>
      </c>
      <c r="H43" s="20" t="s">
        <v>218</v>
      </c>
      <c r="I43" s="21"/>
      <c r="J43" s="22"/>
      <c r="K43" s="21"/>
      <c r="L43" s="21"/>
      <c r="M43" s="21"/>
      <c r="N43" s="23" t="s">
        <v>5</v>
      </c>
      <c r="O43" s="24" t="s">
        <v>679</v>
      </c>
    </row>
    <row r="44" customFormat="false" ht="43.25" hidden="false" customHeight="false" outlineLevel="0" collapsed="false">
      <c r="A44" s="25" t="n">
        <v>32</v>
      </c>
      <c r="B44" s="25" t="s">
        <v>825</v>
      </c>
      <c r="C44" s="25" t="s">
        <v>302</v>
      </c>
      <c r="D44" s="25" t="s">
        <v>303</v>
      </c>
      <c r="E44" s="25" t="s">
        <v>304</v>
      </c>
      <c r="F44" s="25" t="s">
        <v>826</v>
      </c>
      <c r="G44" s="25" t="s">
        <v>306</v>
      </c>
      <c r="H44" s="25" t="s">
        <v>218</v>
      </c>
      <c r="I44" s="21"/>
      <c r="J44" s="22"/>
      <c r="K44" s="21"/>
      <c r="L44" s="21"/>
      <c r="M44" s="21"/>
      <c r="N44" s="23" t="s">
        <v>5</v>
      </c>
      <c r="O44" s="24" t="s">
        <v>679</v>
      </c>
    </row>
    <row r="45" customFormat="false" ht="32.8" hidden="false" customHeight="false" outlineLevel="0" collapsed="false">
      <c r="A45" s="20" t="n">
        <v>33</v>
      </c>
      <c r="B45" s="20" t="s">
        <v>827</v>
      </c>
      <c r="C45" s="20" t="s">
        <v>302</v>
      </c>
      <c r="D45" s="20" t="s">
        <v>303</v>
      </c>
      <c r="E45" s="20" t="s">
        <v>304</v>
      </c>
      <c r="F45" s="20" t="s">
        <v>828</v>
      </c>
      <c r="G45" s="20" t="s">
        <v>306</v>
      </c>
      <c r="H45" s="20" t="s">
        <v>218</v>
      </c>
      <c r="I45" s="21"/>
      <c r="J45" s="22"/>
      <c r="K45" s="21"/>
      <c r="L45" s="21"/>
      <c r="M45" s="21"/>
      <c r="N45" s="23" t="s">
        <v>5</v>
      </c>
      <c r="O45" s="24" t="s">
        <v>399</v>
      </c>
    </row>
    <row r="46" customFormat="false" ht="43.25" hidden="false" customHeight="false" outlineLevel="0" collapsed="false">
      <c r="A46" s="25" t="n">
        <v>34</v>
      </c>
      <c r="B46" s="25" t="s">
        <v>829</v>
      </c>
      <c r="C46" s="25" t="s">
        <v>302</v>
      </c>
      <c r="D46" s="25" t="s">
        <v>303</v>
      </c>
      <c r="E46" s="25" t="s">
        <v>304</v>
      </c>
      <c r="F46" s="25" t="s">
        <v>830</v>
      </c>
      <c r="G46" s="25" t="s">
        <v>306</v>
      </c>
      <c r="H46" s="25" t="s">
        <v>218</v>
      </c>
      <c r="I46" s="21"/>
      <c r="J46" s="22"/>
      <c r="K46" s="21"/>
      <c r="L46" s="21"/>
      <c r="M46" s="21"/>
      <c r="N46" s="23" t="s">
        <v>5</v>
      </c>
      <c r="O46" s="24" t="s">
        <v>702</v>
      </c>
    </row>
    <row r="47" customFormat="false" ht="43.25" hidden="false" customHeight="false" outlineLevel="0" collapsed="false">
      <c r="A47" s="20" t="n">
        <v>35</v>
      </c>
      <c r="B47" s="20" t="s">
        <v>751</v>
      </c>
      <c r="C47" s="20" t="s">
        <v>302</v>
      </c>
      <c r="D47" s="20" t="s">
        <v>303</v>
      </c>
      <c r="E47" s="20" t="s">
        <v>304</v>
      </c>
      <c r="F47" s="20" t="s">
        <v>831</v>
      </c>
      <c r="G47" s="20" t="s">
        <v>306</v>
      </c>
      <c r="H47" s="20" t="s">
        <v>218</v>
      </c>
      <c r="I47" s="21"/>
      <c r="J47" s="22"/>
      <c r="K47" s="21"/>
      <c r="L47" s="21"/>
      <c r="M47" s="21"/>
      <c r="N47" s="23" t="s">
        <v>5</v>
      </c>
      <c r="O47" s="24" t="s">
        <v>679</v>
      </c>
    </row>
  </sheetData>
  <autoFilter ref="A12:O47"/>
  <mergeCells count="6">
    <mergeCell ref="A1:O1"/>
    <mergeCell ref="I5:O5"/>
    <mergeCell ref="I6:O6"/>
    <mergeCell ref="I7:O7"/>
    <mergeCell ref="I8:O8"/>
    <mergeCell ref="I9:O9"/>
  </mergeCells>
  <conditionalFormatting sqref="K13:K247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47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47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47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832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COUNTA($A$13:$A$14)</f>
        <v>2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C5-COUNTIF($K$13:$K$14,"OK")-COUNTIF($K$13:$K$14,"KO")-COUNTIF($K$13:$K$14,"Bloqué")-COUNTIF($K$13:$K$14,"N/A")</f>
        <v>2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COUNTIF($K$13:$K$14,"OK")</f>
        <v>0</v>
      </c>
      <c r="D7" s="18" t="n">
        <f aca="false">IF($C$5=0,0,C7/$C$5)</f>
        <v>0</v>
      </c>
      <c r="E7" s="16" t="s">
        <v>66</v>
      </c>
      <c r="G7" s="17" t="n">
        <f aca="false">COUNTIFS($K$13:$K$14,"KO",$H$13:$H$14,"Haute")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COUNTIF($K$13:$K$14,"KO")</f>
        <v>0</v>
      </c>
      <c r="D8" s="18" t="n">
        <f aca="false">IF($C$5=0,0,C8/$C$5)</f>
        <v>0</v>
      </c>
      <c r="E8" s="16" t="s">
        <v>68</v>
      </c>
      <c r="G8" s="17" t="str">
        <f aca="false">COUNTIF(N13:N14,"OK")&amp;" / "&amp;COUNTIF(N13:N14,"OK PARTIEL")&amp;" / "&amp;COUNTIF(N13:N14,"KO")&amp;" / "&amp;COUNTIF(N13:N14,"NON EXÉCUTÉ")</f>
        <v>2 / 0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COUNTIF($K$13:$K$14,"Bloqué")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COUNTIF($K$13:$K$14,"N/A")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32.8" hidden="false" customHeight="false" outlineLevel="0" collapsed="false">
      <c r="A13" s="20" t="n">
        <v>1</v>
      </c>
      <c r="B13" s="20" t="s">
        <v>37</v>
      </c>
      <c r="C13" s="20" t="s">
        <v>302</v>
      </c>
      <c r="D13" s="20" t="s">
        <v>303</v>
      </c>
      <c r="E13" s="20" t="s">
        <v>304</v>
      </c>
      <c r="F13" s="20" t="s">
        <v>833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392</v>
      </c>
    </row>
    <row r="14" customFormat="false" ht="32.8" hidden="false" customHeight="false" outlineLevel="0" collapsed="false">
      <c r="A14" s="25" t="n">
        <v>2</v>
      </c>
      <c r="B14" s="25" t="s">
        <v>834</v>
      </c>
      <c r="C14" s="25" t="s">
        <v>302</v>
      </c>
      <c r="D14" s="25" t="s">
        <v>303</v>
      </c>
      <c r="E14" s="25" t="s">
        <v>304</v>
      </c>
      <c r="F14" s="25" t="s">
        <v>835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316</v>
      </c>
    </row>
  </sheetData>
  <autoFilter ref="A12:O14"/>
  <mergeCells count="6">
    <mergeCell ref="A1:O1"/>
    <mergeCell ref="I5:O5"/>
    <mergeCell ref="I6:O6"/>
    <mergeCell ref="I7:O7"/>
    <mergeCell ref="I8:O8"/>
    <mergeCell ref="I9:O9"/>
  </mergeCells>
  <conditionalFormatting sqref="K13:K214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4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4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4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836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COUNTA($A$13:$A$60)</f>
        <v>48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C5-COUNTIF($K$13:$K$60,"OK")-COUNTIF($K$13:$K$60,"KO")-COUNTIF($K$13:$K$60,"Bloqué")-COUNTIF($K$13:$K$60,"N/A")</f>
        <v>48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COUNTIF($K$13:$K$60,"OK")</f>
        <v>0</v>
      </c>
      <c r="D7" s="18" t="n">
        <f aca="false">IF($C$5=0,0,C7/$C$5)</f>
        <v>0</v>
      </c>
      <c r="E7" s="16" t="s">
        <v>66</v>
      </c>
      <c r="G7" s="17" t="n">
        <f aca="false">COUNTIFS($K$13:$K$60,"KO",$H$13:$H$60,"Haute")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COUNTIF($K$13:$K$60,"KO")</f>
        <v>0</v>
      </c>
      <c r="D8" s="18" t="n">
        <f aca="false">IF($C$5=0,0,C8/$C$5)</f>
        <v>0</v>
      </c>
      <c r="E8" s="16" t="s">
        <v>68</v>
      </c>
      <c r="G8" s="17" t="str">
        <f aca="false">COUNTIF(N13:N60,"OK")&amp;" / "&amp;COUNTIF(N13:N60,"OK PARTIEL")&amp;" / "&amp;COUNTIF(N13:N60,"KO")&amp;" / "&amp;COUNTIF(N13:N60,"NON EXÉCUTÉ")</f>
        <v>40 / 1 / 0 / 7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COUNTIF($K$13:$K$60,"Bloqué")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COUNTIF($K$13:$K$60,"N/A")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837</v>
      </c>
      <c r="C13" s="20" t="s">
        <v>87</v>
      </c>
      <c r="D13" s="20" t="s">
        <v>838</v>
      </c>
      <c r="E13" s="20" t="s">
        <v>839</v>
      </c>
      <c r="F13" s="20" t="s">
        <v>840</v>
      </c>
      <c r="G13" s="20" t="s">
        <v>841</v>
      </c>
      <c r="H13" s="20" t="s">
        <v>92</v>
      </c>
      <c r="I13" s="21"/>
      <c r="J13" s="22"/>
      <c r="K13" s="21"/>
      <c r="L13" s="21"/>
      <c r="M13" s="21"/>
      <c r="N13" s="23" t="s">
        <v>5</v>
      </c>
      <c r="O13" s="24" t="s">
        <v>842</v>
      </c>
    </row>
    <row r="14" customFormat="false" ht="32.8" hidden="false" customHeight="false" outlineLevel="0" collapsed="false">
      <c r="A14" s="25" t="n">
        <v>2</v>
      </c>
      <c r="B14" s="25" t="s">
        <v>837</v>
      </c>
      <c r="C14" s="25" t="s">
        <v>175</v>
      </c>
      <c r="D14" s="25" t="s">
        <v>843</v>
      </c>
      <c r="E14" s="25" t="s">
        <v>177</v>
      </c>
      <c r="F14" s="25" t="s">
        <v>844</v>
      </c>
      <c r="G14" s="25" t="s">
        <v>845</v>
      </c>
      <c r="H14" s="25" t="s">
        <v>109</v>
      </c>
      <c r="I14" s="21"/>
      <c r="J14" s="22"/>
      <c r="K14" s="21"/>
      <c r="L14" s="21"/>
      <c r="M14" s="21"/>
      <c r="N14" s="23" t="s">
        <v>114</v>
      </c>
      <c r="O14" s="24" t="s">
        <v>846</v>
      </c>
    </row>
    <row r="15" customFormat="false" ht="15" hidden="false" customHeight="false" outlineLevel="0" collapsed="false">
      <c r="A15" s="20" t="n">
        <v>3</v>
      </c>
      <c r="B15" s="20" t="s">
        <v>847</v>
      </c>
      <c r="C15" s="20" t="s">
        <v>87</v>
      </c>
      <c r="D15" s="20" t="s">
        <v>848</v>
      </c>
      <c r="E15" s="20" t="s">
        <v>189</v>
      </c>
      <c r="F15" s="20" t="s">
        <v>849</v>
      </c>
      <c r="G15" s="20" t="s">
        <v>850</v>
      </c>
      <c r="H15" s="20" t="s">
        <v>109</v>
      </c>
      <c r="I15" s="21"/>
      <c r="J15" s="22"/>
      <c r="K15" s="21"/>
      <c r="L15" s="21"/>
      <c r="M15" s="21"/>
      <c r="N15" s="23" t="s">
        <v>5</v>
      </c>
      <c r="O15" s="24" t="s">
        <v>851</v>
      </c>
    </row>
    <row r="16" customFormat="false" ht="22.35" hidden="false" customHeight="false" outlineLevel="0" collapsed="false">
      <c r="A16" s="25" t="n">
        <v>4</v>
      </c>
      <c r="B16" s="25" t="s">
        <v>852</v>
      </c>
      <c r="C16" s="25" t="s">
        <v>175</v>
      </c>
      <c r="D16" s="25" t="s">
        <v>853</v>
      </c>
      <c r="E16" s="25" t="s">
        <v>854</v>
      </c>
      <c r="F16" s="25" t="s">
        <v>855</v>
      </c>
      <c r="G16" s="25" t="s">
        <v>856</v>
      </c>
      <c r="H16" s="25" t="s">
        <v>218</v>
      </c>
      <c r="I16" s="21"/>
      <c r="J16" s="22"/>
      <c r="K16" s="21"/>
      <c r="L16" s="21"/>
      <c r="M16" s="21"/>
      <c r="N16" s="23" t="s">
        <v>187</v>
      </c>
      <c r="O16" s="24" t="s">
        <v>857</v>
      </c>
    </row>
    <row r="17" customFormat="false" ht="15" hidden="false" customHeight="false" outlineLevel="0" collapsed="false">
      <c r="A17" s="20" t="n">
        <v>5</v>
      </c>
      <c r="B17" s="20" t="s">
        <v>858</v>
      </c>
      <c r="C17" s="20" t="s">
        <v>87</v>
      </c>
      <c r="D17" s="20" t="s">
        <v>859</v>
      </c>
      <c r="E17" s="20" t="s">
        <v>860</v>
      </c>
      <c r="F17" s="20" t="s">
        <v>861</v>
      </c>
      <c r="G17" s="20" t="s">
        <v>862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863</v>
      </c>
    </row>
    <row r="18" customFormat="false" ht="43.25" hidden="false" customHeight="false" outlineLevel="0" collapsed="false">
      <c r="A18" s="25" t="n">
        <v>6</v>
      </c>
      <c r="B18" s="25" t="s">
        <v>864</v>
      </c>
      <c r="C18" s="25" t="s">
        <v>302</v>
      </c>
      <c r="D18" s="25" t="s">
        <v>303</v>
      </c>
      <c r="E18" s="25" t="s">
        <v>304</v>
      </c>
      <c r="F18" s="25" t="s">
        <v>865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5</v>
      </c>
      <c r="O18" s="24" t="s">
        <v>316</v>
      </c>
    </row>
    <row r="19" customFormat="false" ht="43.25" hidden="false" customHeight="false" outlineLevel="0" collapsed="false">
      <c r="A19" s="20" t="n">
        <v>7</v>
      </c>
      <c r="B19" s="20" t="s">
        <v>837</v>
      </c>
      <c r="C19" s="20" t="s">
        <v>302</v>
      </c>
      <c r="D19" s="20" t="s">
        <v>303</v>
      </c>
      <c r="E19" s="20" t="s">
        <v>304</v>
      </c>
      <c r="F19" s="20" t="s">
        <v>866</v>
      </c>
      <c r="G19" s="20" t="s">
        <v>306</v>
      </c>
      <c r="H19" s="20" t="s">
        <v>218</v>
      </c>
      <c r="I19" s="21"/>
      <c r="J19" s="22"/>
      <c r="K19" s="21"/>
      <c r="L19" s="21"/>
      <c r="M19" s="21"/>
      <c r="N19" s="23" t="s">
        <v>5</v>
      </c>
      <c r="O19" s="24" t="s">
        <v>867</v>
      </c>
    </row>
    <row r="20" customFormat="false" ht="43.25" hidden="false" customHeight="false" outlineLevel="0" collapsed="false">
      <c r="A20" s="25" t="n">
        <v>8</v>
      </c>
      <c r="B20" s="25" t="s">
        <v>868</v>
      </c>
      <c r="C20" s="25" t="s">
        <v>302</v>
      </c>
      <c r="D20" s="25" t="s">
        <v>303</v>
      </c>
      <c r="E20" s="25" t="s">
        <v>304</v>
      </c>
      <c r="F20" s="25" t="s">
        <v>869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870</v>
      </c>
    </row>
    <row r="21" customFormat="false" ht="43.25" hidden="false" customHeight="false" outlineLevel="0" collapsed="false">
      <c r="A21" s="20" t="n">
        <v>9</v>
      </c>
      <c r="B21" s="20" t="s">
        <v>871</v>
      </c>
      <c r="C21" s="20" t="s">
        <v>302</v>
      </c>
      <c r="D21" s="20" t="s">
        <v>303</v>
      </c>
      <c r="E21" s="20" t="s">
        <v>304</v>
      </c>
      <c r="F21" s="20" t="s">
        <v>872</v>
      </c>
      <c r="G21" s="20" t="s">
        <v>306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329</v>
      </c>
    </row>
    <row r="22" customFormat="false" ht="43.25" hidden="false" customHeight="false" outlineLevel="0" collapsed="false">
      <c r="A22" s="25" t="n">
        <v>10</v>
      </c>
      <c r="B22" s="25" t="s">
        <v>873</v>
      </c>
      <c r="C22" s="25" t="s">
        <v>302</v>
      </c>
      <c r="D22" s="25" t="s">
        <v>303</v>
      </c>
      <c r="E22" s="25" t="s">
        <v>304</v>
      </c>
      <c r="F22" s="25" t="s">
        <v>874</v>
      </c>
      <c r="G22" s="25" t="s">
        <v>306</v>
      </c>
      <c r="H22" s="25" t="s">
        <v>218</v>
      </c>
      <c r="I22" s="21"/>
      <c r="J22" s="22"/>
      <c r="K22" s="21"/>
      <c r="L22" s="21"/>
      <c r="M22" s="21"/>
      <c r="N22" s="23" t="s">
        <v>5</v>
      </c>
      <c r="O22" s="24" t="s">
        <v>422</v>
      </c>
    </row>
    <row r="23" customFormat="false" ht="43.25" hidden="false" customHeight="false" outlineLevel="0" collapsed="false">
      <c r="A23" s="20" t="n">
        <v>11</v>
      </c>
      <c r="B23" s="20" t="s">
        <v>847</v>
      </c>
      <c r="C23" s="20" t="s">
        <v>302</v>
      </c>
      <c r="D23" s="20" t="s">
        <v>303</v>
      </c>
      <c r="E23" s="20" t="s">
        <v>304</v>
      </c>
      <c r="F23" s="20" t="s">
        <v>875</v>
      </c>
      <c r="G23" s="20" t="s">
        <v>306</v>
      </c>
      <c r="H23" s="20" t="s">
        <v>218</v>
      </c>
      <c r="I23" s="21"/>
      <c r="J23" s="22"/>
      <c r="K23" s="21"/>
      <c r="L23" s="21"/>
      <c r="M23" s="21"/>
      <c r="N23" s="23" t="s">
        <v>5</v>
      </c>
      <c r="O23" s="24" t="s">
        <v>876</v>
      </c>
    </row>
    <row r="24" customFormat="false" ht="43.25" hidden="false" customHeight="false" outlineLevel="0" collapsed="false">
      <c r="A24" s="25" t="n">
        <v>12</v>
      </c>
      <c r="B24" s="25" t="s">
        <v>877</v>
      </c>
      <c r="C24" s="25" t="s">
        <v>302</v>
      </c>
      <c r="D24" s="25" t="s">
        <v>303</v>
      </c>
      <c r="E24" s="25" t="s">
        <v>304</v>
      </c>
      <c r="F24" s="25" t="s">
        <v>878</v>
      </c>
      <c r="G24" s="25" t="s">
        <v>306</v>
      </c>
      <c r="H24" s="25" t="s">
        <v>218</v>
      </c>
      <c r="I24" s="21"/>
      <c r="J24" s="22"/>
      <c r="K24" s="21"/>
      <c r="L24" s="21"/>
      <c r="M24" s="21"/>
      <c r="N24" s="23" t="s">
        <v>5</v>
      </c>
      <c r="O24" s="24" t="s">
        <v>493</v>
      </c>
    </row>
    <row r="25" customFormat="false" ht="43.25" hidden="false" customHeight="false" outlineLevel="0" collapsed="false">
      <c r="A25" s="20" t="n">
        <v>13</v>
      </c>
      <c r="B25" s="20" t="s">
        <v>879</v>
      </c>
      <c r="C25" s="20" t="s">
        <v>302</v>
      </c>
      <c r="D25" s="20" t="s">
        <v>303</v>
      </c>
      <c r="E25" s="20" t="s">
        <v>304</v>
      </c>
      <c r="F25" s="20" t="s">
        <v>880</v>
      </c>
      <c r="G25" s="20" t="s">
        <v>306</v>
      </c>
      <c r="H25" s="20" t="s">
        <v>218</v>
      </c>
      <c r="I25" s="21"/>
      <c r="J25" s="22"/>
      <c r="K25" s="21"/>
      <c r="L25" s="21"/>
      <c r="M25" s="21"/>
      <c r="N25" s="23" t="s">
        <v>187</v>
      </c>
      <c r="O25" s="24" t="s">
        <v>387</v>
      </c>
    </row>
    <row r="26" customFormat="false" ht="32.8" hidden="false" customHeight="false" outlineLevel="0" collapsed="false">
      <c r="A26" s="25" t="n">
        <v>14</v>
      </c>
      <c r="B26" s="25" t="s">
        <v>881</v>
      </c>
      <c r="C26" s="25" t="s">
        <v>302</v>
      </c>
      <c r="D26" s="25" t="s">
        <v>303</v>
      </c>
      <c r="E26" s="25" t="s">
        <v>304</v>
      </c>
      <c r="F26" s="25" t="s">
        <v>882</v>
      </c>
      <c r="G26" s="25" t="s">
        <v>306</v>
      </c>
      <c r="H26" s="25" t="s">
        <v>218</v>
      </c>
      <c r="I26" s="21"/>
      <c r="J26" s="22"/>
      <c r="K26" s="21"/>
      <c r="L26" s="21"/>
      <c r="M26" s="21"/>
      <c r="N26" s="23" t="s">
        <v>5</v>
      </c>
      <c r="O26" s="24" t="s">
        <v>316</v>
      </c>
    </row>
    <row r="27" customFormat="false" ht="43.25" hidden="false" customHeight="false" outlineLevel="0" collapsed="false">
      <c r="A27" s="20" t="n">
        <v>15</v>
      </c>
      <c r="B27" s="20" t="s">
        <v>883</v>
      </c>
      <c r="C27" s="20" t="s">
        <v>302</v>
      </c>
      <c r="D27" s="20" t="s">
        <v>303</v>
      </c>
      <c r="E27" s="20" t="s">
        <v>304</v>
      </c>
      <c r="F27" s="20" t="s">
        <v>884</v>
      </c>
      <c r="G27" s="20" t="s">
        <v>306</v>
      </c>
      <c r="H27" s="20" t="s">
        <v>218</v>
      </c>
      <c r="I27" s="21"/>
      <c r="J27" s="22"/>
      <c r="K27" s="21"/>
      <c r="L27" s="21"/>
      <c r="M27" s="21"/>
      <c r="N27" s="23" t="s">
        <v>5</v>
      </c>
      <c r="O27" s="24" t="s">
        <v>885</v>
      </c>
    </row>
    <row r="28" customFormat="false" ht="43.25" hidden="false" customHeight="false" outlineLevel="0" collapsed="false">
      <c r="A28" s="25" t="n">
        <v>16</v>
      </c>
      <c r="B28" s="25" t="s">
        <v>886</v>
      </c>
      <c r="C28" s="25" t="s">
        <v>302</v>
      </c>
      <c r="D28" s="25" t="s">
        <v>303</v>
      </c>
      <c r="E28" s="25" t="s">
        <v>304</v>
      </c>
      <c r="F28" s="25" t="s">
        <v>887</v>
      </c>
      <c r="G28" s="25" t="s">
        <v>306</v>
      </c>
      <c r="H28" s="25" t="s">
        <v>218</v>
      </c>
      <c r="I28" s="21"/>
      <c r="J28" s="22"/>
      <c r="K28" s="21"/>
      <c r="L28" s="21"/>
      <c r="M28" s="21"/>
      <c r="N28" s="23" t="s">
        <v>5</v>
      </c>
      <c r="O28" s="24" t="s">
        <v>888</v>
      </c>
    </row>
    <row r="29" customFormat="false" ht="43.25" hidden="false" customHeight="false" outlineLevel="0" collapsed="false">
      <c r="A29" s="20" t="n">
        <v>17</v>
      </c>
      <c r="B29" s="20" t="s">
        <v>889</v>
      </c>
      <c r="C29" s="20" t="s">
        <v>302</v>
      </c>
      <c r="D29" s="20" t="s">
        <v>303</v>
      </c>
      <c r="E29" s="20" t="s">
        <v>304</v>
      </c>
      <c r="F29" s="20" t="s">
        <v>890</v>
      </c>
      <c r="G29" s="20" t="s">
        <v>306</v>
      </c>
      <c r="H29" s="20" t="s">
        <v>218</v>
      </c>
      <c r="I29" s="21"/>
      <c r="J29" s="22"/>
      <c r="K29" s="21"/>
      <c r="L29" s="21"/>
      <c r="M29" s="21"/>
      <c r="N29" s="23" t="s">
        <v>5</v>
      </c>
      <c r="O29" s="24" t="s">
        <v>493</v>
      </c>
    </row>
    <row r="30" customFormat="false" ht="32.8" hidden="false" customHeight="false" outlineLevel="0" collapsed="false">
      <c r="A30" s="25" t="n">
        <v>18</v>
      </c>
      <c r="B30" s="25" t="s">
        <v>891</v>
      </c>
      <c r="C30" s="25" t="s">
        <v>302</v>
      </c>
      <c r="D30" s="25" t="s">
        <v>303</v>
      </c>
      <c r="E30" s="25" t="s">
        <v>304</v>
      </c>
      <c r="F30" s="25" t="s">
        <v>892</v>
      </c>
      <c r="G30" s="25" t="s">
        <v>306</v>
      </c>
      <c r="H30" s="25" t="s">
        <v>218</v>
      </c>
      <c r="I30" s="21"/>
      <c r="J30" s="22"/>
      <c r="K30" s="21"/>
      <c r="L30" s="21"/>
      <c r="M30" s="21"/>
      <c r="N30" s="23" t="s">
        <v>5</v>
      </c>
      <c r="O30" s="24" t="s">
        <v>493</v>
      </c>
    </row>
    <row r="31" customFormat="false" ht="43.25" hidden="false" customHeight="false" outlineLevel="0" collapsed="false">
      <c r="A31" s="20" t="n">
        <v>19</v>
      </c>
      <c r="B31" s="20" t="s">
        <v>893</v>
      </c>
      <c r="C31" s="20" t="s">
        <v>302</v>
      </c>
      <c r="D31" s="20" t="s">
        <v>303</v>
      </c>
      <c r="E31" s="20" t="s">
        <v>304</v>
      </c>
      <c r="F31" s="20" t="s">
        <v>894</v>
      </c>
      <c r="G31" s="20" t="s">
        <v>306</v>
      </c>
      <c r="H31" s="20" t="s">
        <v>218</v>
      </c>
      <c r="I31" s="21"/>
      <c r="J31" s="22"/>
      <c r="K31" s="21"/>
      <c r="L31" s="21"/>
      <c r="M31" s="21"/>
      <c r="N31" s="23" t="s">
        <v>187</v>
      </c>
      <c r="O31" s="24" t="s">
        <v>387</v>
      </c>
    </row>
    <row r="32" customFormat="false" ht="32.8" hidden="false" customHeight="false" outlineLevel="0" collapsed="false">
      <c r="A32" s="25" t="n">
        <v>20</v>
      </c>
      <c r="B32" s="25" t="s">
        <v>895</v>
      </c>
      <c r="C32" s="25" t="s">
        <v>302</v>
      </c>
      <c r="D32" s="25" t="s">
        <v>303</v>
      </c>
      <c r="E32" s="25" t="s">
        <v>304</v>
      </c>
      <c r="F32" s="25" t="s">
        <v>896</v>
      </c>
      <c r="G32" s="25" t="s">
        <v>306</v>
      </c>
      <c r="H32" s="25" t="s">
        <v>218</v>
      </c>
      <c r="I32" s="21"/>
      <c r="J32" s="22"/>
      <c r="K32" s="21"/>
      <c r="L32" s="21"/>
      <c r="M32" s="21"/>
      <c r="N32" s="23" t="s">
        <v>5</v>
      </c>
      <c r="O32" s="24" t="s">
        <v>307</v>
      </c>
    </row>
    <row r="33" customFormat="false" ht="53.7" hidden="false" customHeight="false" outlineLevel="0" collapsed="false">
      <c r="A33" s="20" t="n">
        <v>21</v>
      </c>
      <c r="B33" s="20" t="s">
        <v>897</v>
      </c>
      <c r="C33" s="20" t="s">
        <v>302</v>
      </c>
      <c r="D33" s="20" t="s">
        <v>303</v>
      </c>
      <c r="E33" s="20" t="s">
        <v>304</v>
      </c>
      <c r="F33" s="20" t="s">
        <v>898</v>
      </c>
      <c r="G33" s="20" t="s">
        <v>306</v>
      </c>
      <c r="H33" s="20" t="s">
        <v>218</v>
      </c>
      <c r="I33" s="21"/>
      <c r="J33" s="22"/>
      <c r="K33" s="21"/>
      <c r="L33" s="21"/>
      <c r="M33" s="21"/>
      <c r="N33" s="23" t="s">
        <v>187</v>
      </c>
      <c r="O33" s="24" t="s">
        <v>342</v>
      </c>
    </row>
    <row r="34" customFormat="false" ht="43.25" hidden="false" customHeight="false" outlineLevel="0" collapsed="false">
      <c r="A34" s="25" t="n">
        <v>22</v>
      </c>
      <c r="B34" s="25" t="s">
        <v>899</v>
      </c>
      <c r="C34" s="25" t="s">
        <v>302</v>
      </c>
      <c r="D34" s="25" t="s">
        <v>303</v>
      </c>
      <c r="E34" s="25" t="s">
        <v>304</v>
      </c>
      <c r="F34" s="25" t="s">
        <v>900</v>
      </c>
      <c r="G34" s="25" t="s">
        <v>306</v>
      </c>
      <c r="H34" s="25" t="s">
        <v>218</v>
      </c>
      <c r="I34" s="21"/>
      <c r="J34" s="22"/>
      <c r="K34" s="21"/>
      <c r="L34" s="21"/>
      <c r="M34" s="21"/>
      <c r="N34" s="23" t="s">
        <v>5</v>
      </c>
      <c r="O34" s="24" t="s">
        <v>901</v>
      </c>
    </row>
    <row r="35" customFormat="false" ht="43.25" hidden="false" customHeight="false" outlineLevel="0" collapsed="false">
      <c r="A35" s="20" t="n">
        <v>23</v>
      </c>
      <c r="B35" s="20" t="s">
        <v>902</v>
      </c>
      <c r="C35" s="20" t="s">
        <v>302</v>
      </c>
      <c r="D35" s="20" t="s">
        <v>303</v>
      </c>
      <c r="E35" s="20" t="s">
        <v>304</v>
      </c>
      <c r="F35" s="20" t="s">
        <v>903</v>
      </c>
      <c r="G35" s="20" t="s">
        <v>306</v>
      </c>
      <c r="H35" s="20" t="s">
        <v>218</v>
      </c>
      <c r="I35" s="21"/>
      <c r="J35" s="22"/>
      <c r="K35" s="21"/>
      <c r="L35" s="21"/>
      <c r="M35" s="21"/>
      <c r="N35" s="23" t="s">
        <v>187</v>
      </c>
      <c r="O35" s="24" t="s">
        <v>387</v>
      </c>
    </row>
    <row r="36" customFormat="false" ht="43.25" hidden="false" customHeight="false" outlineLevel="0" collapsed="false">
      <c r="A36" s="25" t="n">
        <v>24</v>
      </c>
      <c r="B36" s="25" t="s">
        <v>904</v>
      </c>
      <c r="C36" s="25" t="s">
        <v>302</v>
      </c>
      <c r="D36" s="25" t="s">
        <v>303</v>
      </c>
      <c r="E36" s="25" t="s">
        <v>304</v>
      </c>
      <c r="F36" s="25" t="s">
        <v>905</v>
      </c>
      <c r="G36" s="25" t="s">
        <v>306</v>
      </c>
      <c r="H36" s="25" t="s">
        <v>218</v>
      </c>
      <c r="I36" s="21"/>
      <c r="J36" s="22"/>
      <c r="K36" s="21"/>
      <c r="L36" s="21"/>
      <c r="M36" s="21"/>
      <c r="N36" s="23" t="s">
        <v>5</v>
      </c>
      <c r="O36" s="24" t="s">
        <v>870</v>
      </c>
    </row>
    <row r="37" customFormat="false" ht="43.25" hidden="false" customHeight="false" outlineLevel="0" collapsed="false">
      <c r="A37" s="20" t="n">
        <v>25</v>
      </c>
      <c r="B37" s="20" t="s">
        <v>906</v>
      </c>
      <c r="C37" s="20" t="s">
        <v>302</v>
      </c>
      <c r="D37" s="20" t="s">
        <v>303</v>
      </c>
      <c r="E37" s="20" t="s">
        <v>304</v>
      </c>
      <c r="F37" s="20" t="s">
        <v>907</v>
      </c>
      <c r="G37" s="20" t="s">
        <v>306</v>
      </c>
      <c r="H37" s="20" t="s">
        <v>218</v>
      </c>
      <c r="I37" s="21"/>
      <c r="J37" s="22"/>
      <c r="K37" s="21"/>
      <c r="L37" s="21"/>
      <c r="M37" s="21"/>
      <c r="N37" s="23" t="s">
        <v>187</v>
      </c>
      <c r="O37" s="24" t="s">
        <v>387</v>
      </c>
    </row>
    <row r="38" customFormat="false" ht="43.25" hidden="false" customHeight="false" outlineLevel="0" collapsed="false">
      <c r="A38" s="25" t="n">
        <v>26</v>
      </c>
      <c r="B38" s="25" t="s">
        <v>908</v>
      </c>
      <c r="C38" s="25" t="s">
        <v>302</v>
      </c>
      <c r="D38" s="25" t="s">
        <v>303</v>
      </c>
      <c r="E38" s="25" t="s">
        <v>304</v>
      </c>
      <c r="F38" s="25" t="s">
        <v>909</v>
      </c>
      <c r="G38" s="25" t="s">
        <v>306</v>
      </c>
      <c r="H38" s="25" t="s">
        <v>218</v>
      </c>
      <c r="I38" s="21"/>
      <c r="J38" s="22"/>
      <c r="K38" s="21"/>
      <c r="L38" s="21"/>
      <c r="M38" s="21"/>
      <c r="N38" s="23" t="s">
        <v>5</v>
      </c>
      <c r="O38" s="24" t="s">
        <v>422</v>
      </c>
    </row>
    <row r="39" customFormat="false" ht="43.25" hidden="false" customHeight="false" outlineLevel="0" collapsed="false">
      <c r="A39" s="20" t="n">
        <v>27</v>
      </c>
      <c r="B39" s="20" t="s">
        <v>910</v>
      </c>
      <c r="C39" s="20" t="s">
        <v>302</v>
      </c>
      <c r="D39" s="20" t="s">
        <v>303</v>
      </c>
      <c r="E39" s="20" t="s">
        <v>304</v>
      </c>
      <c r="F39" s="20" t="s">
        <v>911</v>
      </c>
      <c r="G39" s="20" t="s">
        <v>306</v>
      </c>
      <c r="H39" s="20" t="s">
        <v>218</v>
      </c>
      <c r="I39" s="21"/>
      <c r="J39" s="22"/>
      <c r="K39" s="21"/>
      <c r="L39" s="21"/>
      <c r="M39" s="21"/>
      <c r="N39" s="23" t="s">
        <v>187</v>
      </c>
      <c r="O39" s="24" t="s">
        <v>387</v>
      </c>
    </row>
    <row r="40" customFormat="false" ht="43.25" hidden="false" customHeight="false" outlineLevel="0" collapsed="false">
      <c r="A40" s="25" t="n">
        <v>28</v>
      </c>
      <c r="B40" s="25" t="s">
        <v>912</v>
      </c>
      <c r="C40" s="25" t="s">
        <v>302</v>
      </c>
      <c r="D40" s="25" t="s">
        <v>303</v>
      </c>
      <c r="E40" s="25" t="s">
        <v>304</v>
      </c>
      <c r="F40" s="25" t="s">
        <v>913</v>
      </c>
      <c r="G40" s="25" t="s">
        <v>306</v>
      </c>
      <c r="H40" s="25" t="s">
        <v>218</v>
      </c>
      <c r="I40" s="21"/>
      <c r="J40" s="22"/>
      <c r="K40" s="21"/>
      <c r="L40" s="21"/>
      <c r="M40" s="21"/>
      <c r="N40" s="23" t="s">
        <v>5</v>
      </c>
      <c r="O40" s="24" t="s">
        <v>422</v>
      </c>
    </row>
    <row r="41" customFormat="false" ht="43.25" hidden="false" customHeight="false" outlineLevel="0" collapsed="false">
      <c r="A41" s="20" t="n">
        <v>29</v>
      </c>
      <c r="B41" s="20" t="s">
        <v>914</v>
      </c>
      <c r="C41" s="20" t="s">
        <v>302</v>
      </c>
      <c r="D41" s="20" t="s">
        <v>303</v>
      </c>
      <c r="E41" s="20" t="s">
        <v>304</v>
      </c>
      <c r="F41" s="20" t="s">
        <v>915</v>
      </c>
      <c r="G41" s="20" t="s">
        <v>306</v>
      </c>
      <c r="H41" s="20" t="s">
        <v>218</v>
      </c>
      <c r="I41" s="21"/>
      <c r="J41" s="22"/>
      <c r="K41" s="21"/>
      <c r="L41" s="21"/>
      <c r="M41" s="21"/>
      <c r="N41" s="23" t="s">
        <v>5</v>
      </c>
      <c r="O41" s="24" t="s">
        <v>916</v>
      </c>
    </row>
    <row r="42" customFormat="false" ht="43.25" hidden="false" customHeight="false" outlineLevel="0" collapsed="false">
      <c r="A42" s="25" t="n">
        <v>30</v>
      </c>
      <c r="B42" s="25" t="s">
        <v>917</v>
      </c>
      <c r="C42" s="25" t="s">
        <v>302</v>
      </c>
      <c r="D42" s="25" t="s">
        <v>303</v>
      </c>
      <c r="E42" s="25" t="s">
        <v>304</v>
      </c>
      <c r="F42" s="25" t="s">
        <v>918</v>
      </c>
      <c r="G42" s="25" t="s">
        <v>306</v>
      </c>
      <c r="H42" s="25" t="s">
        <v>218</v>
      </c>
      <c r="I42" s="21"/>
      <c r="J42" s="22"/>
      <c r="K42" s="21"/>
      <c r="L42" s="21"/>
      <c r="M42" s="21"/>
      <c r="N42" s="23" t="s">
        <v>5</v>
      </c>
      <c r="O42" s="24" t="s">
        <v>916</v>
      </c>
    </row>
    <row r="43" customFormat="false" ht="43.25" hidden="false" customHeight="false" outlineLevel="0" collapsed="false">
      <c r="A43" s="20" t="n">
        <v>31</v>
      </c>
      <c r="B43" s="20" t="s">
        <v>919</v>
      </c>
      <c r="C43" s="20" t="s">
        <v>302</v>
      </c>
      <c r="D43" s="20" t="s">
        <v>303</v>
      </c>
      <c r="E43" s="20" t="s">
        <v>304</v>
      </c>
      <c r="F43" s="20" t="s">
        <v>920</v>
      </c>
      <c r="G43" s="20" t="s">
        <v>306</v>
      </c>
      <c r="H43" s="20" t="s">
        <v>218</v>
      </c>
      <c r="I43" s="21"/>
      <c r="J43" s="22"/>
      <c r="K43" s="21"/>
      <c r="L43" s="21"/>
      <c r="M43" s="21"/>
      <c r="N43" s="23" t="s">
        <v>5</v>
      </c>
      <c r="O43" s="24" t="s">
        <v>916</v>
      </c>
    </row>
    <row r="44" customFormat="false" ht="43.25" hidden="false" customHeight="false" outlineLevel="0" collapsed="false">
      <c r="A44" s="25" t="n">
        <v>32</v>
      </c>
      <c r="B44" s="25" t="s">
        <v>921</v>
      </c>
      <c r="C44" s="25" t="s">
        <v>302</v>
      </c>
      <c r="D44" s="25" t="s">
        <v>303</v>
      </c>
      <c r="E44" s="25" t="s">
        <v>304</v>
      </c>
      <c r="F44" s="25" t="s">
        <v>922</v>
      </c>
      <c r="G44" s="25" t="s">
        <v>306</v>
      </c>
      <c r="H44" s="25" t="s">
        <v>218</v>
      </c>
      <c r="I44" s="21"/>
      <c r="J44" s="22"/>
      <c r="K44" s="21"/>
      <c r="L44" s="21"/>
      <c r="M44" s="21"/>
      <c r="N44" s="23" t="s">
        <v>5</v>
      </c>
      <c r="O44" s="24" t="s">
        <v>923</v>
      </c>
    </row>
    <row r="45" customFormat="false" ht="43.25" hidden="false" customHeight="false" outlineLevel="0" collapsed="false">
      <c r="A45" s="20" t="n">
        <v>33</v>
      </c>
      <c r="B45" s="20" t="s">
        <v>924</v>
      </c>
      <c r="C45" s="20" t="s">
        <v>302</v>
      </c>
      <c r="D45" s="20" t="s">
        <v>303</v>
      </c>
      <c r="E45" s="20" t="s">
        <v>304</v>
      </c>
      <c r="F45" s="20" t="s">
        <v>925</v>
      </c>
      <c r="G45" s="20" t="s">
        <v>306</v>
      </c>
      <c r="H45" s="20" t="s">
        <v>218</v>
      </c>
      <c r="I45" s="21"/>
      <c r="J45" s="22"/>
      <c r="K45" s="21"/>
      <c r="L45" s="21"/>
      <c r="M45" s="21"/>
      <c r="N45" s="23" t="s">
        <v>5</v>
      </c>
      <c r="O45" s="24" t="s">
        <v>440</v>
      </c>
    </row>
    <row r="46" customFormat="false" ht="43.25" hidden="false" customHeight="false" outlineLevel="0" collapsed="false">
      <c r="A46" s="25" t="n">
        <v>34</v>
      </c>
      <c r="B46" s="25" t="s">
        <v>926</v>
      </c>
      <c r="C46" s="25" t="s">
        <v>302</v>
      </c>
      <c r="D46" s="25" t="s">
        <v>303</v>
      </c>
      <c r="E46" s="25" t="s">
        <v>304</v>
      </c>
      <c r="F46" s="25" t="s">
        <v>927</v>
      </c>
      <c r="G46" s="25" t="s">
        <v>306</v>
      </c>
      <c r="H46" s="25" t="s">
        <v>218</v>
      </c>
      <c r="I46" s="21"/>
      <c r="J46" s="22"/>
      <c r="K46" s="21"/>
      <c r="L46" s="21"/>
      <c r="M46" s="21"/>
      <c r="N46" s="23" t="s">
        <v>5</v>
      </c>
      <c r="O46" s="24" t="s">
        <v>329</v>
      </c>
    </row>
    <row r="47" customFormat="false" ht="43.25" hidden="false" customHeight="false" outlineLevel="0" collapsed="false">
      <c r="A47" s="20" t="n">
        <v>35</v>
      </c>
      <c r="B47" s="20" t="s">
        <v>928</v>
      </c>
      <c r="C47" s="20" t="s">
        <v>302</v>
      </c>
      <c r="D47" s="20" t="s">
        <v>303</v>
      </c>
      <c r="E47" s="20" t="s">
        <v>304</v>
      </c>
      <c r="F47" s="20" t="s">
        <v>929</v>
      </c>
      <c r="G47" s="20" t="s">
        <v>306</v>
      </c>
      <c r="H47" s="20" t="s">
        <v>218</v>
      </c>
      <c r="I47" s="21"/>
      <c r="J47" s="22"/>
      <c r="K47" s="21"/>
      <c r="L47" s="21"/>
      <c r="M47" s="21"/>
      <c r="N47" s="23" t="s">
        <v>5</v>
      </c>
      <c r="O47" s="24" t="s">
        <v>930</v>
      </c>
    </row>
    <row r="48" customFormat="false" ht="43.25" hidden="false" customHeight="false" outlineLevel="0" collapsed="false">
      <c r="A48" s="25" t="n">
        <v>36</v>
      </c>
      <c r="B48" s="25" t="s">
        <v>931</v>
      </c>
      <c r="C48" s="25" t="s">
        <v>302</v>
      </c>
      <c r="D48" s="25" t="s">
        <v>303</v>
      </c>
      <c r="E48" s="25" t="s">
        <v>304</v>
      </c>
      <c r="F48" s="25" t="s">
        <v>932</v>
      </c>
      <c r="G48" s="25" t="s">
        <v>306</v>
      </c>
      <c r="H48" s="25" t="s">
        <v>218</v>
      </c>
      <c r="I48" s="21"/>
      <c r="J48" s="22"/>
      <c r="K48" s="21"/>
      <c r="L48" s="21"/>
      <c r="M48" s="21"/>
      <c r="N48" s="23" t="s">
        <v>5</v>
      </c>
      <c r="O48" s="24" t="s">
        <v>326</v>
      </c>
    </row>
    <row r="49" customFormat="false" ht="43.25" hidden="false" customHeight="false" outlineLevel="0" collapsed="false">
      <c r="A49" s="20" t="n">
        <v>37</v>
      </c>
      <c r="B49" s="20" t="s">
        <v>933</v>
      </c>
      <c r="C49" s="20" t="s">
        <v>302</v>
      </c>
      <c r="D49" s="20" t="s">
        <v>303</v>
      </c>
      <c r="E49" s="20" t="s">
        <v>304</v>
      </c>
      <c r="F49" s="20" t="s">
        <v>934</v>
      </c>
      <c r="G49" s="20" t="s">
        <v>306</v>
      </c>
      <c r="H49" s="20" t="s">
        <v>218</v>
      </c>
      <c r="I49" s="21"/>
      <c r="J49" s="22"/>
      <c r="K49" s="21"/>
      <c r="L49" s="21"/>
      <c r="M49" s="21"/>
      <c r="N49" s="23" t="s">
        <v>5</v>
      </c>
      <c r="O49" s="24" t="s">
        <v>935</v>
      </c>
    </row>
    <row r="50" customFormat="false" ht="43.25" hidden="false" customHeight="false" outlineLevel="0" collapsed="false">
      <c r="A50" s="25" t="n">
        <v>38</v>
      </c>
      <c r="B50" s="25" t="s">
        <v>936</v>
      </c>
      <c r="C50" s="25" t="s">
        <v>302</v>
      </c>
      <c r="D50" s="25" t="s">
        <v>303</v>
      </c>
      <c r="E50" s="25" t="s">
        <v>304</v>
      </c>
      <c r="F50" s="25" t="s">
        <v>937</v>
      </c>
      <c r="G50" s="25" t="s">
        <v>306</v>
      </c>
      <c r="H50" s="25" t="s">
        <v>218</v>
      </c>
      <c r="I50" s="21"/>
      <c r="J50" s="22"/>
      <c r="K50" s="21"/>
      <c r="L50" s="21"/>
      <c r="M50" s="21"/>
      <c r="N50" s="23" t="s">
        <v>5</v>
      </c>
      <c r="O50" s="24" t="s">
        <v>916</v>
      </c>
    </row>
    <row r="51" customFormat="false" ht="43.25" hidden="false" customHeight="false" outlineLevel="0" collapsed="false">
      <c r="A51" s="20" t="n">
        <v>39</v>
      </c>
      <c r="B51" s="20" t="s">
        <v>938</v>
      </c>
      <c r="C51" s="20" t="s">
        <v>302</v>
      </c>
      <c r="D51" s="20" t="s">
        <v>303</v>
      </c>
      <c r="E51" s="20" t="s">
        <v>304</v>
      </c>
      <c r="F51" s="20" t="s">
        <v>939</v>
      </c>
      <c r="G51" s="20" t="s">
        <v>306</v>
      </c>
      <c r="H51" s="20" t="s">
        <v>218</v>
      </c>
      <c r="I51" s="21"/>
      <c r="J51" s="22"/>
      <c r="K51" s="21"/>
      <c r="L51" s="21"/>
      <c r="M51" s="21"/>
      <c r="N51" s="23" t="s">
        <v>5</v>
      </c>
      <c r="O51" s="24" t="s">
        <v>307</v>
      </c>
    </row>
    <row r="52" customFormat="false" ht="43.25" hidden="false" customHeight="false" outlineLevel="0" collapsed="false">
      <c r="A52" s="25" t="n">
        <v>40</v>
      </c>
      <c r="B52" s="25" t="s">
        <v>940</v>
      </c>
      <c r="C52" s="25" t="s">
        <v>302</v>
      </c>
      <c r="D52" s="25" t="s">
        <v>303</v>
      </c>
      <c r="E52" s="25" t="s">
        <v>304</v>
      </c>
      <c r="F52" s="25" t="s">
        <v>941</v>
      </c>
      <c r="G52" s="25" t="s">
        <v>306</v>
      </c>
      <c r="H52" s="25" t="s">
        <v>218</v>
      </c>
      <c r="I52" s="21"/>
      <c r="J52" s="22"/>
      <c r="K52" s="21"/>
      <c r="L52" s="21"/>
      <c r="M52" s="21"/>
      <c r="N52" s="23" t="s">
        <v>5</v>
      </c>
      <c r="O52" s="24" t="s">
        <v>901</v>
      </c>
    </row>
    <row r="53" customFormat="false" ht="43.25" hidden="false" customHeight="false" outlineLevel="0" collapsed="false">
      <c r="A53" s="20" t="n">
        <v>41</v>
      </c>
      <c r="B53" s="20" t="s">
        <v>942</v>
      </c>
      <c r="C53" s="20" t="s">
        <v>302</v>
      </c>
      <c r="D53" s="20" t="s">
        <v>303</v>
      </c>
      <c r="E53" s="20" t="s">
        <v>304</v>
      </c>
      <c r="F53" s="20" t="s">
        <v>943</v>
      </c>
      <c r="G53" s="20" t="s">
        <v>306</v>
      </c>
      <c r="H53" s="20" t="s">
        <v>218</v>
      </c>
      <c r="I53" s="21"/>
      <c r="J53" s="22"/>
      <c r="K53" s="21"/>
      <c r="L53" s="21"/>
      <c r="M53" s="21"/>
      <c r="N53" s="23" t="s">
        <v>5</v>
      </c>
      <c r="O53" s="24" t="s">
        <v>399</v>
      </c>
    </row>
    <row r="54" customFormat="false" ht="43.25" hidden="false" customHeight="false" outlineLevel="0" collapsed="false">
      <c r="A54" s="25" t="n">
        <v>42</v>
      </c>
      <c r="B54" s="25" t="s">
        <v>944</v>
      </c>
      <c r="C54" s="25" t="s">
        <v>302</v>
      </c>
      <c r="D54" s="25" t="s">
        <v>303</v>
      </c>
      <c r="E54" s="25" t="s">
        <v>304</v>
      </c>
      <c r="F54" s="25" t="s">
        <v>945</v>
      </c>
      <c r="G54" s="25" t="s">
        <v>306</v>
      </c>
      <c r="H54" s="25" t="s">
        <v>218</v>
      </c>
      <c r="I54" s="21"/>
      <c r="J54" s="22"/>
      <c r="K54" s="21"/>
      <c r="L54" s="21"/>
      <c r="M54" s="21"/>
      <c r="N54" s="23" t="s">
        <v>5</v>
      </c>
      <c r="O54" s="24" t="s">
        <v>946</v>
      </c>
    </row>
    <row r="55" customFormat="false" ht="43.25" hidden="false" customHeight="false" outlineLevel="0" collapsed="false">
      <c r="A55" s="20" t="n">
        <v>43</v>
      </c>
      <c r="B55" s="20" t="s">
        <v>947</v>
      </c>
      <c r="C55" s="20" t="s">
        <v>302</v>
      </c>
      <c r="D55" s="20" t="s">
        <v>303</v>
      </c>
      <c r="E55" s="20" t="s">
        <v>304</v>
      </c>
      <c r="F55" s="20" t="s">
        <v>948</v>
      </c>
      <c r="G55" s="20" t="s">
        <v>306</v>
      </c>
      <c r="H55" s="20" t="s">
        <v>218</v>
      </c>
      <c r="I55" s="21"/>
      <c r="J55" s="22"/>
      <c r="K55" s="21"/>
      <c r="L55" s="21"/>
      <c r="M55" s="21"/>
      <c r="N55" s="23" t="s">
        <v>5</v>
      </c>
      <c r="O55" s="24" t="s">
        <v>734</v>
      </c>
    </row>
    <row r="56" customFormat="false" ht="43.25" hidden="false" customHeight="false" outlineLevel="0" collapsed="false">
      <c r="A56" s="25" t="n">
        <v>44</v>
      </c>
      <c r="B56" s="25" t="s">
        <v>949</v>
      </c>
      <c r="C56" s="25" t="s">
        <v>302</v>
      </c>
      <c r="D56" s="25" t="s">
        <v>303</v>
      </c>
      <c r="E56" s="25" t="s">
        <v>304</v>
      </c>
      <c r="F56" s="25" t="s">
        <v>950</v>
      </c>
      <c r="G56" s="25" t="s">
        <v>306</v>
      </c>
      <c r="H56" s="25" t="s">
        <v>218</v>
      </c>
      <c r="I56" s="21"/>
      <c r="J56" s="22"/>
      <c r="K56" s="21"/>
      <c r="L56" s="21"/>
      <c r="M56" s="21"/>
      <c r="N56" s="23" t="s">
        <v>5</v>
      </c>
      <c r="O56" s="24" t="s">
        <v>901</v>
      </c>
    </row>
    <row r="57" customFormat="false" ht="32.8" hidden="false" customHeight="false" outlineLevel="0" collapsed="false">
      <c r="A57" s="20" t="n">
        <v>45</v>
      </c>
      <c r="B57" s="20" t="s">
        <v>951</v>
      </c>
      <c r="C57" s="20" t="s">
        <v>302</v>
      </c>
      <c r="D57" s="20" t="s">
        <v>303</v>
      </c>
      <c r="E57" s="20" t="s">
        <v>304</v>
      </c>
      <c r="F57" s="20" t="s">
        <v>952</v>
      </c>
      <c r="G57" s="20" t="s">
        <v>306</v>
      </c>
      <c r="H57" s="20" t="s">
        <v>218</v>
      </c>
      <c r="I57" s="21"/>
      <c r="J57" s="22"/>
      <c r="K57" s="21"/>
      <c r="L57" s="21"/>
      <c r="M57" s="21"/>
      <c r="N57" s="23" t="s">
        <v>5</v>
      </c>
      <c r="O57" s="24" t="s">
        <v>953</v>
      </c>
    </row>
    <row r="58" customFormat="false" ht="32.8" hidden="false" customHeight="false" outlineLevel="0" collapsed="false">
      <c r="A58" s="25" t="n">
        <v>46</v>
      </c>
      <c r="B58" s="25" t="s">
        <v>852</v>
      </c>
      <c r="C58" s="25" t="s">
        <v>302</v>
      </c>
      <c r="D58" s="25" t="s">
        <v>303</v>
      </c>
      <c r="E58" s="25" t="s">
        <v>304</v>
      </c>
      <c r="F58" s="25" t="s">
        <v>954</v>
      </c>
      <c r="G58" s="25" t="s">
        <v>306</v>
      </c>
      <c r="H58" s="25" t="s">
        <v>218</v>
      </c>
      <c r="I58" s="21"/>
      <c r="J58" s="22"/>
      <c r="K58" s="21"/>
      <c r="L58" s="21"/>
      <c r="M58" s="21"/>
      <c r="N58" s="23" t="s">
        <v>5</v>
      </c>
      <c r="O58" s="24" t="s">
        <v>493</v>
      </c>
    </row>
    <row r="59" customFormat="false" ht="43.25" hidden="false" customHeight="false" outlineLevel="0" collapsed="false">
      <c r="A59" s="20" t="n">
        <v>47</v>
      </c>
      <c r="B59" s="20" t="s">
        <v>858</v>
      </c>
      <c r="C59" s="20" t="s">
        <v>302</v>
      </c>
      <c r="D59" s="20" t="s">
        <v>303</v>
      </c>
      <c r="E59" s="20" t="s">
        <v>304</v>
      </c>
      <c r="F59" s="20" t="s">
        <v>955</v>
      </c>
      <c r="G59" s="20" t="s">
        <v>306</v>
      </c>
      <c r="H59" s="20" t="s">
        <v>218</v>
      </c>
      <c r="I59" s="21"/>
      <c r="J59" s="22"/>
      <c r="K59" s="21"/>
      <c r="L59" s="21"/>
      <c r="M59" s="21"/>
      <c r="N59" s="23" t="s">
        <v>5</v>
      </c>
      <c r="O59" s="24" t="s">
        <v>699</v>
      </c>
    </row>
    <row r="60" customFormat="false" ht="32.8" hidden="false" customHeight="false" outlineLevel="0" collapsed="false">
      <c r="A60" s="25" t="n">
        <v>48</v>
      </c>
      <c r="B60" s="25" t="s">
        <v>956</v>
      </c>
      <c r="C60" s="25" t="s">
        <v>302</v>
      </c>
      <c r="D60" s="25" t="s">
        <v>303</v>
      </c>
      <c r="E60" s="25" t="s">
        <v>304</v>
      </c>
      <c r="F60" s="25" t="s">
        <v>957</v>
      </c>
      <c r="G60" s="25" t="s">
        <v>306</v>
      </c>
      <c r="H60" s="25" t="s">
        <v>218</v>
      </c>
      <c r="I60" s="21"/>
      <c r="J60" s="22"/>
      <c r="K60" s="21"/>
      <c r="L60" s="21"/>
      <c r="M60" s="21"/>
      <c r="N60" s="23" t="s">
        <v>5</v>
      </c>
      <c r="O60" s="24" t="s">
        <v>958</v>
      </c>
    </row>
  </sheetData>
  <autoFilter ref="A12:O60"/>
  <mergeCells count="6">
    <mergeCell ref="A1:O1"/>
    <mergeCell ref="I5:O5"/>
    <mergeCell ref="I6:O6"/>
    <mergeCell ref="I7:O7"/>
    <mergeCell ref="I8:O8"/>
    <mergeCell ref="I9:O9"/>
  </mergeCells>
  <conditionalFormatting sqref="K13:K260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60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60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60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959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COUNTA($A$13:$A$18)</f>
        <v>6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C5-COUNTIF($K$13:$K$18,"OK")-COUNTIF($K$13:$K$18,"KO")-COUNTIF($K$13:$K$18,"Bloqué")-COUNTIF($K$13:$K$18,"N/A")</f>
        <v>6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COUNTIF($K$13:$K$18,"OK")</f>
        <v>0</v>
      </c>
      <c r="D7" s="18" t="n">
        <f aca="false">IF($C$5=0,0,C7/$C$5)</f>
        <v>0</v>
      </c>
      <c r="E7" s="16" t="s">
        <v>66</v>
      </c>
      <c r="G7" s="17" t="n">
        <f aca="false">COUNTIFS($K$13:$K$18,"KO",$H$13:$H$18,"Haute")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COUNTIF($K$13:$K$18,"KO")</f>
        <v>0</v>
      </c>
      <c r="D8" s="18" t="n">
        <f aca="false">IF($C$5=0,0,C8/$C$5)</f>
        <v>0</v>
      </c>
      <c r="E8" s="16" t="s">
        <v>68</v>
      </c>
      <c r="G8" s="17" t="str">
        <f aca="false">COUNTIF(N13:N18,"OK")&amp;" / "&amp;COUNTIF(N13:N18,"OK PARTIEL")&amp;" / "&amp;COUNTIF(N13:N18,"KO")&amp;" / "&amp;COUNTIF(N13:N18,"NON EXÉCUTÉ")</f>
        <v>5 / 0 / 0 / 1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COUNTIF($K$13:$K$18,"Bloqué")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COUNTIF($K$13:$K$18,"N/A")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960</v>
      </c>
      <c r="C13" s="20" t="s">
        <v>87</v>
      </c>
      <c r="D13" s="20" t="s">
        <v>961</v>
      </c>
      <c r="E13" s="20" t="s">
        <v>962</v>
      </c>
      <c r="F13" s="20" t="s">
        <v>963</v>
      </c>
      <c r="G13" s="20" t="s">
        <v>964</v>
      </c>
      <c r="H13" s="20" t="s">
        <v>218</v>
      </c>
      <c r="I13" s="21"/>
      <c r="J13" s="22"/>
      <c r="K13" s="21"/>
      <c r="L13" s="21"/>
      <c r="M13" s="21"/>
      <c r="N13" s="23" t="s">
        <v>187</v>
      </c>
      <c r="O13" s="24" t="s">
        <v>965</v>
      </c>
    </row>
    <row r="14" customFormat="false" ht="32.8" hidden="false" customHeight="false" outlineLevel="0" collapsed="false">
      <c r="A14" s="25" t="n">
        <v>2</v>
      </c>
      <c r="B14" s="25" t="s">
        <v>960</v>
      </c>
      <c r="C14" s="25" t="s">
        <v>302</v>
      </c>
      <c r="D14" s="25" t="s">
        <v>303</v>
      </c>
      <c r="E14" s="25" t="s">
        <v>304</v>
      </c>
      <c r="F14" s="25" t="s">
        <v>966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311</v>
      </c>
    </row>
    <row r="15" customFormat="false" ht="32.8" hidden="false" customHeight="false" outlineLevel="0" collapsed="false">
      <c r="A15" s="20" t="n">
        <v>3</v>
      </c>
      <c r="B15" s="20" t="s">
        <v>967</v>
      </c>
      <c r="C15" s="20" t="s">
        <v>302</v>
      </c>
      <c r="D15" s="20" t="s">
        <v>303</v>
      </c>
      <c r="E15" s="20" t="s">
        <v>304</v>
      </c>
      <c r="F15" s="20" t="s">
        <v>968</v>
      </c>
      <c r="G15" s="20" t="s">
        <v>306</v>
      </c>
      <c r="H15" s="20" t="s">
        <v>218</v>
      </c>
      <c r="I15" s="21"/>
      <c r="J15" s="22"/>
      <c r="K15" s="21"/>
      <c r="L15" s="21"/>
      <c r="M15" s="21"/>
      <c r="N15" s="23" t="s">
        <v>5</v>
      </c>
      <c r="O15" s="24" t="s">
        <v>311</v>
      </c>
    </row>
    <row r="16" customFormat="false" ht="43.25" hidden="false" customHeight="false" outlineLevel="0" collapsed="false">
      <c r="A16" s="25" t="n">
        <v>4</v>
      </c>
      <c r="B16" s="25" t="s">
        <v>969</v>
      </c>
      <c r="C16" s="25" t="s">
        <v>302</v>
      </c>
      <c r="D16" s="25" t="s">
        <v>303</v>
      </c>
      <c r="E16" s="25" t="s">
        <v>304</v>
      </c>
      <c r="F16" s="25" t="s">
        <v>970</v>
      </c>
      <c r="G16" s="25" t="s">
        <v>306</v>
      </c>
      <c r="H16" s="25" t="s">
        <v>218</v>
      </c>
      <c r="I16" s="21"/>
      <c r="J16" s="22"/>
      <c r="K16" s="21"/>
      <c r="L16" s="21"/>
      <c r="M16" s="21"/>
      <c r="N16" s="23" t="s">
        <v>5</v>
      </c>
      <c r="O16" s="24" t="s">
        <v>971</v>
      </c>
    </row>
    <row r="17" customFormat="false" ht="53.7" hidden="false" customHeight="false" outlineLevel="0" collapsed="false">
      <c r="A17" s="20" t="n">
        <v>5</v>
      </c>
      <c r="B17" s="20" t="s">
        <v>972</v>
      </c>
      <c r="C17" s="20" t="s">
        <v>302</v>
      </c>
      <c r="D17" s="20" t="s">
        <v>303</v>
      </c>
      <c r="E17" s="20" t="s">
        <v>304</v>
      </c>
      <c r="F17" s="20" t="s">
        <v>973</v>
      </c>
      <c r="G17" s="20" t="s">
        <v>306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974</v>
      </c>
    </row>
    <row r="18" customFormat="false" ht="43.25" hidden="false" customHeight="false" outlineLevel="0" collapsed="false">
      <c r="A18" s="25" t="n">
        <v>6</v>
      </c>
      <c r="B18" s="25" t="s">
        <v>975</v>
      </c>
      <c r="C18" s="25" t="s">
        <v>302</v>
      </c>
      <c r="D18" s="25" t="s">
        <v>303</v>
      </c>
      <c r="E18" s="25" t="s">
        <v>304</v>
      </c>
      <c r="F18" s="25" t="s">
        <v>976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5</v>
      </c>
      <c r="O18" s="24" t="s">
        <v>977</v>
      </c>
    </row>
  </sheetData>
  <autoFilter ref="A12:O18"/>
  <mergeCells count="6">
    <mergeCell ref="A1:O1"/>
    <mergeCell ref="I5:O5"/>
    <mergeCell ref="I6:O6"/>
    <mergeCell ref="I7:O7"/>
    <mergeCell ref="I8:O8"/>
    <mergeCell ref="I9:O9"/>
  </mergeCells>
  <conditionalFormatting sqref="K13:K218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8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8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8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978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COUNTA($A$13:$A$18)</f>
        <v>6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C5-COUNTIF($K$13:$K$18,"OK")-COUNTIF($K$13:$K$18,"KO")-COUNTIF($K$13:$K$18,"Bloqué")-COUNTIF($K$13:$K$18,"N/A")</f>
        <v>6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COUNTIF($K$13:$K$18,"OK")</f>
        <v>0</v>
      </c>
      <c r="D7" s="18" t="n">
        <f aca="false">IF($C$5=0,0,C7/$C$5)</f>
        <v>0</v>
      </c>
      <c r="E7" s="16" t="s">
        <v>66</v>
      </c>
      <c r="G7" s="17" t="n">
        <f aca="false">COUNTIFS($K$13:$K$18,"KO",$H$13:$H$18,"Haute")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COUNTIF($K$13:$K$18,"KO")</f>
        <v>0</v>
      </c>
      <c r="D8" s="18" t="n">
        <f aca="false">IF($C$5=0,0,C8/$C$5)</f>
        <v>0</v>
      </c>
      <c r="E8" s="16" t="s">
        <v>68</v>
      </c>
      <c r="G8" s="17" t="str">
        <f aca="false">COUNTIF(N13:N18,"OK")&amp;" / "&amp;COUNTIF(N13:N18,"OK PARTIEL")&amp;" / "&amp;COUNTIF(N13:N18,"KO")&amp;" / "&amp;COUNTIF(N13:N18,"NON EXÉCUTÉ")</f>
        <v>5 / 0 / 0 / 1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COUNTIF($K$13:$K$18,"Bloqué")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COUNTIF($K$13:$K$18,"N/A")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979</v>
      </c>
      <c r="C13" s="20" t="s">
        <v>302</v>
      </c>
      <c r="D13" s="20" t="s">
        <v>303</v>
      </c>
      <c r="E13" s="20" t="s">
        <v>304</v>
      </c>
      <c r="F13" s="20" t="s">
        <v>980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399</v>
      </c>
    </row>
    <row r="14" customFormat="false" ht="32.8" hidden="false" customHeight="false" outlineLevel="0" collapsed="false">
      <c r="A14" s="25" t="n">
        <v>2</v>
      </c>
      <c r="B14" s="25" t="s">
        <v>981</v>
      </c>
      <c r="C14" s="25" t="s">
        <v>302</v>
      </c>
      <c r="D14" s="25" t="s">
        <v>303</v>
      </c>
      <c r="E14" s="25" t="s">
        <v>304</v>
      </c>
      <c r="F14" s="25" t="s">
        <v>982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493</v>
      </c>
    </row>
    <row r="15" customFormat="false" ht="32.8" hidden="false" customHeight="false" outlineLevel="0" collapsed="false">
      <c r="A15" s="20" t="n">
        <v>3</v>
      </c>
      <c r="B15" s="20" t="s">
        <v>983</v>
      </c>
      <c r="C15" s="20" t="s">
        <v>302</v>
      </c>
      <c r="D15" s="20" t="s">
        <v>303</v>
      </c>
      <c r="E15" s="20" t="s">
        <v>304</v>
      </c>
      <c r="F15" s="20" t="s">
        <v>984</v>
      </c>
      <c r="G15" s="20" t="s">
        <v>306</v>
      </c>
      <c r="H15" s="20" t="s">
        <v>218</v>
      </c>
      <c r="I15" s="21"/>
      <c r="J15" s="22"/>
      <c r="K15" s="21"/>
      <c r="L15" s="21"/>
      <c r="M15" s="21"/>
      <c r="N15" s="23" t="s">
        <v>5</v>
      </c>
      <c r="O15" s="24" t="s">
        <v>316</v>
      </c>
    </row>
    <row r="16" customFormat="false" ht="43.25" hidden="false" customHeight="false" outlineLevel="0" collapsed="false">
      <c r="A16" s="25" t="n">
        <v>4</v>
      </c>
      <c r="B16" s="25" t="s">
        <v>985</v>
      </c>
      <c r="C16" s="25" t="s">
        <v>302</v>
      </c>
      <c r="D16" s="25" t="s">
        <v>303</v>
      </c>
      <c r="E16" s="25" t="s">
        <v>304</v>
      </c>
      <c r="F16" s="25" t="s">
        <v>986</v>
      </c>
      <c r="G16" s="25" t="s">
        <v>306</v>
      </c>
      <c r="H16" s="25" t="s">
        <v>218</v>
      </c>
      <c r="I16" s="21"/>
      <c r="J16" s="22"/>
      <c r="K16" s="21"/>
      <c r="L16" s="21"/>
      <c r="M16" s="21"/>
      <c r="N16" s="23" t="s">
        <v>5</v>
      </c>
      <c r="O16" s="24" t="s">
        <v>311</v>
      </c>
    </row>
    <row r="17" customFormat="false" ht="43.25" hidden="false" customHeight="false" outlineLevel="0" collapsed="false">
      <c r="A17" s="20" t="n">
        <v>5</v>
      </c>
      <c r="B17" s="20" t="s">
        <v>987</v>
      </c>
      <c r="C17" s="20" t="s">
        <v>302</v>
      </c>
      <c r="D17" s="20" t="s">
        <v>303</v>
      </c>
      <c r="E17" s="20" t="s">
        <v>304</v>
      </c>
      <c r="F17" s="20" t="s">
        <v>988</v>
      </c>
      <c r="G17" s="20" t="s">
        <v>306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326</v>
      </c>
    </row>
    <row r="18" customFormat="false" ht="43.25" hidden="false" customHeight="false" outlineLevel="0" collapsed="false">
      <c r="A18" s="25" t="n">
        <v>6</v>
      </c>
      <c r="B18" s="25" t="s">
        <v>989</v>
      </c>
      <c r="C18" s="25" t="s">
        <v>302</v>
      </c>
      <c r="D18" s="25" t="s">
        <v>303</v>
      </c>
      <c r="E18" s="25" t="s">
        <v>304</v>
      </c>
      <c r="F18" s="25" t="s">
        <v>990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187</v>
      </c>
      <c r="O18" s="24" t="s">
        <v>991</v>
      </c>
    </row>
  </sheetData>
  <autoFilter ref="A12:O18"/>
  <mergeCells count="6">
    <mergeCell ref="A1:O1"/>
    <mergeCell ref="I5:O5"/>
    <mergeCell ref="I6:O6"/>
    <mergeCell ref="I7:O7"/>
    <mergeCell ref="I8:O8"/>
    <mergeCell ref="I9:O9"/>
  </mergeCells>
  <conditionalFormatting sqref="K13:K218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8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8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8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992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COUNTA($A$13:$A$22)</f>
        <v>10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C5-COUNTIF($K$13:$K$22,"OK")-COUNTIF($K$13:$K$22,"KO")-COUNTIF($K$13:$K$22,"Bloqué")-COUNTIF($K$13:$K$22,"N/A")</f>
        <v>10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COUNTIF($K$13:$K$22,"OK")</f>
        <v>0</v>
      </c>
      <c r="D7" s="18" t="n">
        <f aca="false">IF($C$5=0,0,C7/$C$5)</f>
        <v>0</v>
      </c>
      <c r="E7" s="16" t="s">
        <v>66</v>
      </c>
      <c r="G7" s="17" t="n">
        <f aca="false">COUNTIFS($K$13:$K$22,"KO",$H$13:$H$22,"Haute")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COUNTIF($K$13:$K$22,"KO")</f>
        <v>0</v>
      </c>
      <c r="D8" s="18" t="n">
        <f aca="false">IF($C$5=0,0,C8/$C$5)</f>
        <v>0</v>
      </c>
      <c r="E8" s="16" t="s">
        <v>68</v>
      </c>
      <c r="G8" s="17" t="str">
        <f aca="false">COUNTIF(N13:N22,"OK")&amp;" / "&amp;COUNTIF(N13:N22,"OK PARTIEL")&amp;" / "&amp;COUNTIF(N13:N22,"KO")&amp;" / "&amp;COUNTIF(N13:N22,"NON EXÉCUTÉ")</f>
        <v>3 / 0 / 0 / 7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COUNTIF($K$13:$K$22,"Bloqué")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COUNTIF($K$13:$K$22,"N/A")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993</v>
      </c>
      <c r="C13" s="20" t="s">
        <v>302</v>
      </c>
      <c r="D13" s="20" t="s">
        <v>303</v>
      </c>
      <c r="E13" s="20" t="s">
        <v>304</v>
      </c>
      <c r="F13" s="20" t="s">
        <v>994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187</v>
      </c>
      <c r="O13" s="24" t="s">
        <v>387</v>
      </c>
    </row>
    <row r="14" customFormat="false" ht="43.25" hidden="false" customHeight="false" outlineLevel="0" collapsed="false">
      <c r="A14" s="25" t="n">
        <v>2</v>
      </c>
      <c r="B14" s="25" t="s">
        <v>2</v>
      </c>
      <c r="C14" s="25" t="s">
        <v>302</v>
      </c>
      <c r="D14" s="25" t="s">
        <v>303</v>
      </c>
      <c r="E14" s="25" t="s">
        <v>304</v>
      </c>
      <c r="F14" s="25" t="s">
        <v>995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996</v>
      </c>
    </row>
    <row r="15" customFormat="false" ht="43.25" hidden="false" customHeight="false" outlineLevel="0" collapsed="false">
      <c r="A15" s="20" t="n">
        <v>3</v>
      </c>
      <c r="B15" s="20" t="s">
        <v>997</v>
      </c>
      <c r="C15" s="20" t="s">
        <v>302</v>
      </c>
      <c r="D15" s="20" t="s">
        <v>303</v>
      </c>
      <c r="E15" s="20" t="s">
        <v>304</v>
      </c>
      <c r="F15" s="20" t="s">
        <v>998</v>
      </c>
      <c r="G15" s="20" t="s">
        <v>306</v>
      </c>
      <c r="H15" s="20" t="s">
        <v>218</v>
      </c>
      <c r="I15" s="21"/>
      <c r="J15" s="22"/>
      <c r="K15" s="21"/>
      <c r="L15" s="21"/>
      <c r="M15" s="21"/>
      <c r="N15" s="23" t="s">
        <v>5</v>
      </c>
      <c r="O15" s="24" t="s">
        <v>534</v>
      </c>
    </row>
    <row r="16" customFormat="false" ht="43.25" hidden="false" customHeight="false" outlineLevel="0" collapsed="false">
      <c r="A16" s="25" t="n">
        <v>4</v>
      </c>
      <c r="B16" s="25" t="s">
        <v>999</v>
      </c>
      <c r="C16" s="25" t="s">
        <v>302</v>
      </c>
      <c r="D16" s="25" t="s">
        <v>303</v>
      </c>
      <c r="E16" s="25" t="s">
        <v>304</v>
      </c>
      <c r="F16" s="25" t="s">
        <v>1000</v>
      </c>
      <c r="G16" s="25" t="s">
        <v>306</v>
      </c>
      <c r="H16" s="25" t="s">
        <v>218</v>
      </c>
      <c r="I16" s="21"/>
      <c r="J16" s="22"/>
      <c r="K16" s="21"/>
      <c r="L16" s="21"/>
      <c r="M16" s="21"/>
      <c r="N16" s="23" t="s">
        <v>187</v>
      </c>
      <c r="O16" s="24" t="s">
        <v>387</v>
      </c>
    </row>
    <row r="17" customFormat="false" ht="43.25" hidden="false" customHeight="false" outlineLevel="0" collapsed="false">
      <c r="A17" s="20" t="n">
        <v>5</v>
      </c>
      <c r="B17" s="20" t="s">
        <v>1001</v>
      </c>
      <c r="C17" s="20" t="s">
        <v>302</v>
      </c>
      <c r="D17" s="20" t="s">
        <v>303</v>
      </c>
      <c r="E17" s="20" t="s">
        <v>304</v>
      </c>
      <c r="F17" s="20" t="s">
        <v>1002</v>
      </c>
      <c r="G17" s="20" t="s">
        <v>306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1003</v>
      </c>
    </row>
    <row r="18" customFormat="false" ht="43.25" hidden="false" customHeight="false" outlineLevel="0" collapsed="false">
      <c r="A18" s="25" t="n">
        <v>6</v>
      </c>
      <c r="B18" s="25" t="s">
        <v>1004</v>
      </c>
      <c r="C18" s="25" t="s">
        <v>302</v>
      </c>
      <c r="D18" s="25" t="s">
        <v>303</v>
      </c>
      <c r="E18" s="25" t="s">
        <v>304</v>
      </c>
      <c r="F18" s="25" t="s">
        <v>1005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187</v>
      </c>
      <c r="O18" s="24" t="s">
        <v>387</v>
      </c>
    </row>
    <row r="19" customFormat="false" ht="43.25" hidden="false" customHeight="false" outlineLevel="0" collapsed="false">
      <c r="A19" s="20" t="n">
        <v>7</v>
      </c>
      <c r="B19" s="20" t="s">
        <v>1006</v>
      </c>
      <c r="C19" s="20" t="s">
        <v>302</v>
      </c>
      <c r="D19" s="20" t="s">
        <v>303</v>
      </c>
      <c r="E19" s="20" t="s">
        <v>304</v>
      </c>
      <c r="F19" s="20" t="s">
        <v>1007</v>
      </c>
      <c r="G19" s="20" t="s">
        <v>306</v>
      </c>
      <c r="H19" s="20" t="s">
        <v>218</v>
      </c>
      <c r="I19" s="21"/>
      <c r="J19" s="22"/>
      <c r="K19" s="21"/>
      <c r="L19" s="21"/>
      <c r="M19" s="21"/>
      <c r="N19" s="23" t="s">
        <v>187</v>
      </c>
      <c r="O19" s="24" t="s">
        <v>387</v>
      </c>
    </row>
    <row r="20" customFormat="false" ht="43.25" hidden="false" customHeight="false" outlineLevel="0" collapsed="false">
      <c r="A20" s="25" t="n">
        <v>8</v>
      </c>
      <c r="B20" s="25" t="s">
        <v>1008</v>
      </c>
      <c r="C20" s="25" t="s">
        <v>302</v>
      </c>
      <c r="D20" s="25" t="s">
        <v>303</v>
      </c>
      <c r="E20" s="25" t="s">
        <v>304</v>
      </c>
      <c r="F20" s="25" t="s">
        <v>1009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187</v>
      </c>
      <c r="O20" s="24" t="s">
        <v>387</v>
      </c>
    </row>
    <row r="21" customFormat="false" ht="43.25" hidden="false" customHeight="false" outlineLevel="0" collapsed="false">
      <c r="A21" s="20" t="n">
        <v>9</v>
      </c>
      <c r="B21" s="20" t="s">
        <v>1010</v>
      </c>
      <c r="C21" s="20" t="s">
        <v>302</v>
      </c>
      <c r="D21" s="20" t="s">
        <v>303</v>
      </c>
      <c r="E21" s="20" t="s">
        <v>304</v>
      </c>
      <c r="F21" s="20" t="s">
        <v>1011</v>
      </c>
      <c r="G21" s="20" t="s">
        <v>306</v>
      </c>
      <c r="H21" s="20" t="s">
        <v>218</v>
      </c>
      <c r="I21" s="21"/>
      <c r="J21" s="22"/>
      <c r="K21" s="21"/>
      <c r="L21" s="21"/>
      <c r="M21" s="21"/>
      <c r="N21" s="23" t="s">
        <v>187</v>
      </c>
      <c r="O21" s="24" t="s">
        <v>387</v>
      </c>
    </row>
    <row r="22" customFormat="false" ht="43.25" hidden="false" customHeight="false" outlineLevel="0" collapsed="false">
      <c r="A22" s="25" t="n">
        <v>10</v>
      </c>
      <c r="B22" s="25" t="s">
        <v>1012</v>
      </c>
      <c r="C22" s="25" t="s">
        <v>302</v>
      </c>
      <c r="D22" s="25" t="s">
        <v>303</v>
      </c>
      <c r="E22" s="25" t="s">
        <v>304</v>
      </c>
      <c r="F22" s="25" t="s">
        <v>1013</v>
      </c>
      <c r="G22" s="25" t="s">
        <v>306</v>
      </c>
      <c r="H22" s="25" t="s">
        <v>218</v>
      </c>
      <c r="I22" s="21"/>
      <c r="J22" s="22"/>
      <c r="K22" s="21"/>
      <c r="L22" s="21"/>
      <c r="M22" s="21"/>
      <c r="N22" s="23" t="s">
        <v>187</v>
      </c>
      <c r="O22" s="24" t="s">
        <v>387</v>
      </c>
    </row>
  </sheetData>
  <autoFilter ref="A12:O22"/>
  <mergeCells count="6">
    <mergeCell ref="A1:O1"/>
    <mergeCell ref="I5:O5"/>
    <mergeCell ref="I6:O6"/>
    <mergeCell ref="I7:O7"/>
    <mergeCell ref="I8:O8"/>
    <mergeCell ref="I9:O9"/>
  </mergeCells>
  <conditionalFormatting sqref="K13:K222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22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22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22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1014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COUNTA($A$13:$A$15)</f>
        <v>3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C5-COUNTIF($K$13:$K$15,"OK")-COUNTIF($K$13:$K$15,"KO")-COUNTIF($K$13:$K$15,"Bloqué")-COUNTIF($K$13:$K$15,"N/A")</f>
        <v>3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COUNTIF($K$13:$K$15,"OK")</f>
        <v>0</v>
      </c>
      <c r="D7" s="18" t="n">
        <f aca="false">IF($C$5=0,0,C7/$C$5)</f>
        <v>0</v>
      </c>
      <c r="E7" s="16" t="s">
        <v>66</v>
      </c>
      <c r="G7" s="17" t="n">
        <f aca="false">COUNTIFS($K$13:$K$15,"KO",$H$13:$H$15,"Haute")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COUNTIF($K$13:$K$15,"KO")</f>
        <v>0</v>
      </c>
      <c r="D8" s="18" t="n">
        <f aca="false">IF($C$5=0,0,C8/$C$5)</f>
        <v>0</v>
      </c>
      <c r="E8" s="16" t="s">
        <v>68</v>
      </c>
      <c r="G8" s="17" t="str">
        <f aca="false">COUNTIF(N13:N15,"OK")&amp;" / "&amp;COUNTIF(N13:N15,"OK PARTIEL")&amp;" / "&amp;COUNTIF(N13:N15,"KO")&amp;" / "&amp;COUNTIF(N13:N15,"NON EXÉCUTÉ")</f>
        <v>3 / 0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COUNTIF($K$13:$K$15,"Bloqué")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COUNTIF($K$13:$K$15,"N/A")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1015</v>
      </c>
      <c r="C13" s="20" t="s">
        <v>87</v>
      </c>
      <c r="D13" s="20" t="s">
        <v>1016</v>
      </c>
      <c r="E13" s="20" t="s">
        <v>1017</v>
      </c>
      <c r="F13" s="20" t="s">
        <v>1018</v>
      </c>
      <c r="G13" s="20" t="s">
        <v>1019</v>
      </c>
      <c r="H13" s="20" t="s">
        <v>109</v>
      </c>
      <c r="I13" s="21"/>
      <c r="J13" s="22"/>
      <c r="K13" s="21"/>
      <c r="L13" s="21"/>
      <c r="M13" s="21"/>
      <c r="N13" s="23" t="s">
        <v>5</v>
      </c>
      <c r="O13" s="24" t="s">
        <v>1020</v>
      </c>
    </row>
    <row r="14" customFormat="false" ht="32.8" hidden="false" customHeight="false" outlineLevel="0" collapsed="false">
      <c r="A14" s="25" t="n">
        <v>2</v>
      </c>
      <c r="B14" s="25" t="s">
        <v>1015</v>
      </c>
      <c r="C14" s="25" t="s">
        <v>302</v>
      </c>
      <c r="D14" s="25" t="s">
        <v>303</v>
      </c>
      <c r="E14" s="25" t="s">
        <v>304</v>
      </c>
      <c r="F14" s="25" t="s">
        <v>1021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5</v>
      </c>
      <c r="O14" s="24" t="s">
        <v>316</v>
      </c>
    </row>
    <row r="15" customFormat="false" ht="43.25" hidden="false" customHeight="false" outlineLevel="0" collapsed="false">
      <c r="A15" s="20" t="n">
        <v>3</v>
      </c>
      <c r="B15" s="20" t="s">
        <v>1022</v>
      </c>
      <c r="C15" s="20" t="s">
        <v>302</v>
      </c>
      <c r="D15" s="20" t="s">
        <v>303</v>
      </c>
      <c r="E15" s="20" t="s">
        <v>304</v>
      </c>
      <c r="F15" s="20" t="s">
        <v>1023</v>
      </c>
      <c r="G15" s="20" t="s">
        <v>306</v>
      </c>
      <c r="H15" s="20" t="s">
        <v>218</v>
      </c>
      <c r="I15" s="21"/>
      <c r="J15" s="22"/>
      <c r="K15" s="21"/>
      <c r="L15" s="21"/>
      <c r="M15" s="21"/>
      <c r="N15" s="23" t="s">
        <v>5</v>
      </c>
      <c r="O15" s="24" t="s">
        <v>734</v>
      </c>
    </row>
  </sheetData>
  <autoFilter ref="A12:O15"/>
  <mergeCells count="6">
    <mergeCell ref="A1:O1"/>
    <mergeCell ref="I5:O5"/>
    <mergeCell ref="I6:O6"/>
    <mergeCell ref="I7:O7"/>
    <mergeCell ref="I8:O8"/>
    <mergeCell ref="I9:O9"/>
  </mergeCells>
  <conditionalFormatting sqref="K13:K215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5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5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5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1024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COUNTA($A$13:$A$20)</f>
        <v>8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C5-COUNTIF($K$13:$K$20,"OK")-COUNTIF($K$13:$K$20,"KO")-COUNTIF($K$13:$K$20,"Bloqué")-COUNTIF($K$13:$K$20,"N/A")</f>
        <v>8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COUNTIF($K$13:$K$20,"OK")</f>
        <v>0</v>
      </c>
      <c r="D7" s="18" t="n">
        <f aca="false">IF($C$5=0,0,C7/$C$5)</f>
        <v>0</v>
      </c>
      <c r="E7" s="16" t="s">
        <v>66</v>
      </c>
      <c r="G7" s="17" t="n">
        <f aca="false">COUNTIFS($K$13:$K$20,"KO",$H$13:$H$20,"Haute")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COUNTIF($K$13:$K$20,"KO")</f>
        <v>0</v>
      </c>
      <c r="D8" s="18" t="n">
        <f aca="false">IF($C$5=0,0,C8/$C$5)</f>
        <v>0</v>
      </c>
      <c r="E8" s="16" t="s">
        <v>68</v>
      </c>
      <c r="G8" s="17" t="str">
        <f aca="false">COUNTIF(N13:N20,"OK")&amp;" / "&amp;COUNTIF(N13:N20,"OK PARTIEL")&amp;" / "&amp;COUNTIF(N13:N20,"KO")&amp;" / "&amp;COUNTIF(N13:N20,"NON EXÉCUTÉ")</f>
        <v>7 / 1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COUNTIF($K$13:$K$20,"Bloqué")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COUNTIF($K$13:$K$20,"N/A")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22.35" hidden="false" customHeight="false" outlineLevel="0" collapsed="false">
      <c r="A13" s="20" t="n">
        <v>1</v>
      </c>
      <c r="B13" s="20" t="s">
        <v>49</v>
      </c>
      <c r="C13" s="20" t="s">
        <v>87</v>
      </c>
      <c r="D13" s="20" t="s">
        <v>1025</v>
      </c>
      <c r="E13" s="20" t="s">
        <v>1026</v>
      </c>
      <c r="F13" s="20" t="s">
        <v>1027</v>
      </c>
      <c r="G13" s="20" t="s">
        <v>1028</v>
      </c>
      <c r="H13" s="20" t="s">
        <v>109</v>
      </c>
      <c r="I13" s="21"/>
      <c r="J13" s="22"/>
      <c r="K13" s="21"/>
      <c r="L13" s="21"/>
      <c r="M13" s="21"/>
      <c r="N13" s="23" t="s">
        <v>5</v>
      </c>
      <c r="O13" s="24" t="s">
        <v>1029</v>
      </c>
    </row>
    <row r="14" customFormat="false" ht="32.8" hidden="false" customHeight="false" outlineLevel="0" collapsed="false">
      <c r="A14" s="25" t="n">
        <v>2</v>
      </c>
      <c r="B14" s="25" t="s">
        <v>49</v>
      </c>
      <c r="C14" s="25" t="s">
        <v>87</v>
      </c>
      <c r="D14" s="25" t="s">
        <v>1030</v>
      </c>
      <c r="E14" s="25" t="s">
        <v>1031</v>
      </c>
      <c r="F14" s="25" t="s">
        <v>1032</v>
      </c>
      <c r="G14" s="25" t="s">
        <v>1033</v>
      </c>
      <c r="H14" s="25" t="s">
        <v>92</v>
      </c>
      <c r="I14" s="21"/>
      <c r="J14" s="22"/>
      <c r="K14" s="21"/>
      <c r="L14" s="21"/>
      <c r="M14" s="21"/>
      <c r="N14" s="23" t="s">
        <v>114</v>
      </c>
      <c r="O14" s="24" t="s">
        <v>1034</v>
      </c>
    </row>
    <row r="15" customFormat="false" ht="22.35" hidden="false" customHeight="false" outlineLevel="0" collapsed="false">
      <c r="A15" s="20" t="n">
        <v>3</v>
      </c>
      <c r="B15" s="20" t="s">
        <v>49</v>
      </c>
      <c r="C15" s="20" t="s">
        <v>87</v>
      </c>
      <c r="D15" s="20" t="s">
        <v>1035</v>
      </c>
      <c r="E15" s="20" t="s">
        <v>1036</v>
      </c>
      <c r="F15" s="20" t="s">
        <v>268</v>
      </c>
      <c r="G15" s="20" t="s">
        <v>1037</v>
      </c>
      <c r="H15" s="20" t="s">
        <v>92</v>
      </c>
      <c r="I15" s="21"/>
      <c r="J15" s="22"/>
      <c r="K15" s="21"/>
      <c r="L15" s="21"/>
      <c r="M15" s="21"/>
      <c r="N15" s="23" t="s">
        <v>5</v>
      </c>
      <c r="O15" s="24" t="s">
        <v>126</v>
      </c>
    </row>
    <row r="16" customFormat="false" ht="22.35" hidden="false" customHeight="false" outlineLevel="0" collapsed="false">
      <c r="A16" s="25" t="n">
        <v>4</v>
      </c>
      <c r="B16" s="25" t="s">
        <v>49</v>
      </c>
      <c r="C16" s="25" t="s">
        <v>87</v>
      </c>
      <c r="D16" s="25" t="s">
        <v>1038</v>
      </c>
      <c r="E16" s="25" t="s">
        <v>1039</v>
      </c>
      <c r="F16" s="25" t="s">
        <v>1040</v>
      </c>
      <c r="G16" s="25" t="s">
        <v>1041</v>
      </c>
      <c r="H16" s="25" t="s">
        <v>92</v>
      </c>
      <c r="I16" s="21"/>
      <c r="J16" s="22"/>
      <c r="K16" s="21"/>
      <c r="L16" s="21"/>
      <c r="M16" s="21"/>
      <c r="N16" s="23" t="s">
        <v>5</v>
      </c>
      <c r="O16" s="24" t="s">
        <v>126</v>
      </c>
    </row>
    <row r="17" customFormat="false" ht="22.35" hidden="false" customHeight="false" outlineLevel="0" collapsed="false">
      <c r="A17" s="20" t="n">
        <v>5</v>
      </c>
      <c r="B17" s="20" t="s">
        <v>49</v>
      </c>
      <c r="C17" s="20" t="s">
        <v>116</v>
      </c>
      <c r="D17" s="20" t="s">
        <v>1042</v>
      </c>
      <c r="E17" s="20" t="s">
        <v>1043</v>
      </c>
      <c r="F17" s="20" t="s">
        <v>1044</v>
      </c>
      <c r="G17" s="20" t="s">
        <v>1045</v>
      </c>
      <c r="H17" s="20" t="s">
        <v>109</v>
      </c>
      <c r="I17" s="21"/>
      <c r="J17" s="22"/>
      <c r="K17" s="21"/>
      <c r="L17" s="21"/>
      <c r="M17" s="21"/>
      <c r="N17" s="23" t="s">
        <v>5</v>
      </c>
      <c r="O17" s="24" t="s">
        <v>133</v>
      </c>
    </row>
    <row r="18" customFormat="false" ht="15" hidden="false" customHeight="false" outlineLevel="0" collapsed="false">
      <c r="A18" s="25" t="n">
        <v>6</v>
      </c>
      <c r="B18" s="25" t="s">
        <v>49</v>
      </c>
      <c r="C18" s="25" t="s">
        <v>87</v>
      </c>
      <c r="D18" s="25" t="s">
        <v>1046</v>
      </c>
      <c r="E18" s="25" t="s">
        <v>1039</v>
      </c>
      <c r="F18" s="25" t="s">
        <v>1047</v>
      </c>
      <c r="G18" s="25" t="s">
        <v>1048</v>
      </c>
      <c r="H18" s="25" t="s">
        <v>92</v>
      </c>
      <c r="I18" s="21"/>
      <c r="J18" s="22"/>
      <c r="K18" s="21"/>
      <c r="L18" s="21"/>
      <c r="M18" s="21"/>
      <c r="N18" s="23" t="s">
        <v>5</v>
      </c>
      <c r="O18" s="24" t="s">
        <v>1049</v>
      </c>
    </row>
    <row r="19" customFormat="false" ht="32.8" hidden="false" customHeight="false" outlineLevel="0" collapsed="false">
      <c r="A19" s="20" t="n">
        <v>7</v>
      </c>
      <c r="B19" s="20" t="s">
        <v>49</v>
      </c>
      <c r="C19" s="20" t="s">
        <v>87</v>
      </c>
      <c r="D19" s="20" t="s">
        <v>1050</v>
      </c>
      <c r="E19" s="20" t="s">
        <v>1051</v>
      </c>
      <c r="F19" s="20" t="s">
        <v>1052</v>
      </c>
      <c r="G19" s="20" t="s">
        <v>1053</v>
      </c>
      <c r="H19" s="20" t="s">
        <v>109</v>
      </c>
      <c r="I19" s="21"/>
      <c r="J19" s="22"/>
      <c r="K19" s="21"/>
      <c r="L19" s="21"/>
      <c r="M19" s="21"/>
      <c r="N19" s="23" t="s">
        <v>5</v>
      </c>
      <c r="O19" s="24" t="s">
        <v>1054</v>
      </c>
    </row>
    <row r="20" customFormat="false" ht="43.25" hidden="false" customHeight="false" outlineLevel="0" collapsed="false">
      <c r="A20" s="25" t="n">
        <v>8</v>
      </c>
      <c r="B20" s="25" t="s">
        <v>49</v>
      </c>
      <c r="C20" s="25" t="s">
        <v>302</v>
      </c>
      <c r="D20" s="25" t="s">
        <v>303</v>
      </c>
      <c r="E20" s="25" t="s">
        <v>304</v>
      </c>
      <c r="F20" s="25" t="s">
        <v>1055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1056</v>
      </c>
    </row>
  </sheetData>
  <autoFilter ref="A12:O20"/>
  <mergeCells count="6">
    <mergeCell ref="A1:O1"/>
    <mergeCell ref="I5:O5"/>
    <mergeCell ref="I6:O6"/>
    <mergeCell ref="I7:O7"/>
    <mergeCell ref="I8:O8"/>
    <mergeCell ref="I9:O9"/>
  </mergeCells>
  <conditionalFormatting sqref="K13:K220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20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20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20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1057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COUNTA($A$13:$A$13)</f>
        <v>1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C5-COUNTIF($K$13:$K$13,"OK")-COUNTIF($K$13:$K$13,"KO")-COUNTIF($K$13:$K$13,"Bloqué")-COUNTIF($K$13:$K$13,"N/A")</f>
        <v>1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COUNTIF($K$13:$K$13,"OK")</f>
        <v>0</v>
      </c>
      <c r="D7" s="18" t="n">
        <f aca="false">IF($C$5=0,0,C7/$C$5)</f>
        <v>0</v>
      </c>
      <c r="E7" s="16" t="s">
        <v>66</v>
      </c>
      <c r="G7" s="17" t="n">
        <f aca="false">COUNTIFS($K$13:$K$13,"KO",$H$13:$H$13,"Haute")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COUNTIF($K$13:$K$13,"KO")</f>
        <v>0</v>
      </c>
      <c r="D8" s="18" t="n">
        <f aca="false">IF($C$5=0,0,C8/$C$5)</f>
        <v>0</v>
      </c>
      <c r="E8" s="16" t="s">
        <v>68</v>
      </c>
      <c r="G8" s="17" t="str">
        <f aca="false">COUNTIF(N13:N13,"OK")&amp;" / "&amp;COUNTIF(N13:N13,"OK PARTIEL")&amp;" / "&amp;COUNTIF(N13:N13,"KO")&amp;" / "&amp;COUNTIF(N13:N13,"NON EXÉCUTÉ")</f>
        <v>1 / 0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COUNTIF($K$13:$K$13,"Bloqué")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COUNTIF($K$13:$K$13,"N/A")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32.8" hidden="false" customHeight="false" outlineLevel="0" collapsed="false">
      <c r="A13" s="20" t="n">
        <v>1</v>
      </c>
      <c r="B13" s="20" t="s">
        <v>50</v>
      </c>
      <c r="C13" s="20" t="s">
        <v>302</v>
      </c>
      <c r="D13" s="20" t="s">
        <v>303</v>
      </c>
      <c r="E13" s="20" t="s">
        <v>304</v>
      </c>
      <c r="F13" s="20" t="s">
        <v>1058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958</v>
      </c>
    </row>
  </sheetData>
  <autoFilter ref="A12:O13"/>
  <mergeCells count="6">
    <mergeCell ref="A1:O1"/>
    <mergeCell ref="I5:O5"/>
    <mergeCell ref="I6:O6"/>
    <mergeCell ref="I7:O7"/>
    <mergeCell ref="I8:O8"/>
    <mergeCell ref="I9:O9"/>
  </mergeCells>
  <conditionalFormatting sqref="K13:K213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3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3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1059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COUNTA($A$13:$A$14)</f>
        <v>2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C5-COUNTIF($K$13:$K$14,"OK")-COUNTIF($K$13:$K$14,"KO")-COUNTIF($K$13:$K$14,"Bloqué")-COUNTIF($K$13:$K$14,"N/A")</f>
        <v>2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COUNTIF($K$13:$K$14,"OK")</f>
        <v>0</v>
      </c>
      <c r="D7" s="18" t="n">
        <f aca="false">IF($C$5=0,0,C7/$C$5)</f>
        <v>0</v>
      </c>
      <c r="E7" s="16" t="s">
        <v>66</v>
      </c>
      <c r="G7" s="17" t="n">
        <f aca="false">COUNTIFS($K$13:$K$14,"KO",$H$13:$H$14,"Haute")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COUNTIF($K$13:$K$14,"KO")</f>
        <v>0</v>
      </c>
      <c r="D8" s="18" t="n">
        <f aca="false">IF($C$5=0,0,C8/$C$5)</f>
        <v>0</v>
      </c>
      <c r="E8" s="16" t="s">
        <v>68</v>
      </c>
      <c r="G8" s="17" t="str">
        <f aca="false">COUNTIF(N13:N14,"OK")&amp;" / "&amp;COUNTIF(N13:N14,"OK PARTIEL")&amp;" / "&amp;COUNTIF(N13:N14,"KO")&amp;" / "&amp;COUNTIF(N13:N14,"NON EXÉCUTÉ")</f>
        <v>1 / 1 / 0 / 0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COUNTIF($K$13:$K$14,"Bloqué")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COUNTIF($K$13:$K$14,"N/A")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1060</v>
      </c>
      <c r="C13" s="20" t="s">
        <v>302</v>
      </c>
      <c r="D13" s="20" t="s">
        <v>303</v>
      </c>
      <c r="E13" s="20" t="s">
        <v>304</v>
      </c>
      <c r="F13" s="20" t="s">
        <v>1061</v>
      </c>
      <c r="G13" s="20" t="s">
        <v>306</v>
      </c>
      <c r="H13" s="20" t="s">
        <v>218</v>
      </c>
      <c r="I13" s="21"/>
      <c r="J13" s="22"/>
      <c r="K13" s="21"/>
      <c r="L13" s="21"/>
      <c r="M13" s="21"/>
      <c r="N13" s="23" t="s">
        <v>5</v>
      </c>
      <c r="O13" s="24" t="s">
        <v>1062</v>
      </c>
    </row>
    <row r="14" customFormat="false" ht="53.7" hidden="false" customHeight="false" outlineLevel="0" collapsed="false">
      <c r="A14" s="25" t="n">
        <v>2</v>
      </c>
      <c r="B14" s="25" t="s">
        <v>1063</v>
      </c>
      <c r="C14" s="25" t="s">
        <v>302</v>
      </c>
      <c r="D14" s="25" t="s">
        <v>303</v>
      </c>
      <c r="E14" s="25" t="s">
        <v>304</v>
      </c>
      <c r="F14" s="25" t="s">
        <v>1064</v>
      </c>
      <c r="G14" s="25" t="s">
        <v>306</v>
      </c>
      <c r="H14" s="25" t="s">
        <v>218</v>
      </c>
      <c r="I14" s="21"/>
      <c r="J14" s="22"/>
      <c r="K14" s="21"/>
      <c r="L14" s="21"/>
      <c r="M14" s="21"/>
      <c r="N14" s="23" t="s">
        <v>114</v>
      </c>
      <c r="O14" s="24" t="s">
        <v>1065</v>
      </c>
    </row>
  </sheetData>
  <autoFilter ref="A12:O14"/>
  <mergeCells count="6">
    <mergeCell ref="A1:O1"/>
    <mergeCell ref="I5:O5"/>
    <mergeCell ref="I6:O6"/>
    <mergeCell ref="I7:O7"/>
    <mergeCell ref="I8:O8"/>
    <mergeCell ref="I9:O9"/>
  </mergeCells>
  <conditionalFormatting sqref="K13:K214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14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14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14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2" topLeftCell="E13" activePane="bottomRight" state="frozen"/>
      <selection pane="topLeft" activeCell="A1" activeCellId="0" sqref="A1"/>
      <selection pane="topRight" activeCell="E1" activeCellId="0" sqref="E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7" min="6" style="0" width="42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1" min="10" style="0" width="10"/>
    <col collapsed="false" customWidth="true" hidden="false" outlineLevel="0" max="12" min="12" style="0" width="30"/>
    <col collapsed="false" customWidth="true" hidden="false" outlineLevel="0" max="13" min="13" style="0" width="9"/>
    <col collapsed="false" customWidth="true" hidden="false" outlineLevel="0" max="14" min="14" style="0" width="13"/>
    <col collapsed="false" customWidth="true" hidden="false" outlineLevel="0" max="15" min="15" style="0" width="38"/>
  </cols>
  <sheetData>
    <row r="1" customFormat="false" ht="18.55" hidden="false" customHeight="false" outlineLevel="0" collapsed="false">
      <c r="A1" s="12" t="s">
        <v>1066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</row>
    <row r="2" customFormat="false" ht="15" hidden="false" customHeight="false" outlineLevel="0" collapsed="false">
      <c r="A2" s="13" t="s">
        <v>57</v>
      </c>
      <c r="C2" s="14"/>
      <c r="E2" s="13" t="s">
        <v>58</v>
      </c>
      <c r="G2" s="14"/>
    </row>
    <row r="4" customFormat="false" ht="15" hidden="false" customHeight="false" outlineLevel="0" collapsed="false">
      <c r="A4" s="15" t="s">
        <v>59</v>
      </c>
      <c r="I4" s="15" t="s">
        <v>60</v>
      </c>
    </row>
    <row r="5" customFormat="false" ht="24" hidden="false" customHeight="true" outlineLevel="0" collapsed="false">
      <c r="A5" s="16" t="s">
        <v>61</v>
      </c>
      <c r="C5" s="17" t="n">
        <f aca="false">COUNTA($A$13:$A$24)</f>
        <v>12</v>
      </c>
      <c r="D5" s="17"/>
      <c r="E5" s="16" t="s">
        <v>62</v>
      </c>
      <c r="G5" s="18" t="n">
        <f aca="false">IF(($C$5-$C$10)=0,0,($C$7+$C$8+$C$9)/($C$5-$C$10))</f>
        <v>0</v>
      </c>
      <c r="I5" s="19" t="s">
        <v>63</v>
      </c>
      <c r="J5" s="19"/>
      <c r="K5" s="19"/>
      <c r="L5" s="19"/>
      <c r="M5" s="19"/>
      <c r="N5" s="19"/>
      <c r="O5" s="19"/>
    </row>
    <row r="6" customFormat="false" ht="24" hidden="false" customHeight="true" outlineLevel="0" collapsed="false">
      <c r="A6" s="16" t="s">
        <v>9</v>
      </c>
      <c r="C6" s="17" t="n">
        <f aca="false">C5-COUNTIF($K$13:$K$24,"OK")-COUNTIF($K$13:$K$24,"KO")-COUNTIF($K$13:$K$24,"Bloqué")-COUNTIF($K$13:$K$24,"N/A")</f>
        <v>12</v>
      </c>
      <c r="D6" s="18" t="n">
        <f aca="false">IF($C$5=0,0,C6/$C$5)</f>
        <v>1</v>
      </c>
      <c r="E6" s="16" t="s">
        <v>64</v>
      </c>
      <c r="G6" s="18" t="n">
        <f aca="false">IF(($C$7+$C$8+$C$9)=0,0,$C$7/($C$7+$C$8+$C$9))</f>
        <v>0</v>
      </c>
      <c r="I6" s="19" t="s">
        <v>65</v>
      </c>
      <c r="J6" s="19"/>
      <c r="K6" s="19"/>
      <c r="L6" s="19"/>
      <c r="M6" s="19"/>
      <c r="N6" s="19"/>
      <c r="O6" s="19"/>
    </row>
    <row r="7" customFormat="false" ht="24" hidden="false" customHeight="true" outlineLevel="0" collapsed="false">
      <c r="A7" s="16" t="s">
        <v>5</v>
      </c>
      <c r="C7" s="17" t="n">
        <f aca="false">COUNTIF($K$13:$K$24,"OK")</f>
        <v>0</v>
      </c>
      <c r="D7" s="18" t="n">
        <f aca="false">IF($C$5=0,0,C7/$C$5)</f>
        <v>0</v>
      </c>
      <c r="E7" s="16" t="s">
        <v>66</v>
      </c>
      <c r="G7" s="17" t="n">
        <f aca="false">COUNTIFS($K$13:$K$24,"KO",$H$13:$H$24,"Haute")</f>
        <v>0</v>
      </c>
      <c r="I7" s="19" t="s">
        <v>67</v>
      </c>
      <c r="J7" s="19"/>
      <c r="K7" s="19"/>
      <c r="L7" s="19"/>
      <c r="M7" s="19"/>
      <c r="N7" s="19"/>
      <c r="O7" s="19"/>
    </row>
    <row r="8" customFormat="false" ht="24" hidden="false" customHeight="true" outlineLevel="0" collapsed="false">
      <c r="A8" s="16" t="s">
        <v>6</v>
      </c>
      <c r="C8" s="17" t="n">
        <f aca="false">COUNTIF($K$13:$K$24,"KO")</f>
        <v>0</v>
      </c>
      <c r="D8" s="18" t="n">
        <f aca="false">IF($C$5=0,0,C8/$C$5)</f>
        <v>0</v>
      </c>
      <c r="E8" s="16" t="s">
        <v>68</v>
      </c>
      <c r="G8" s="17" t="str">
        <f aca="false">COUNTIF(N13:N24,"OK")&amp;" / "&amp;COUNTIF(N13:N24,"OK PARTIEL")&amp;" / "&amp;COUNTIF(N13:N24,"KO")&amp;" / "&amp;COUNTIF(N13:N24,"NON EXÉCUTÉ")</f>
        <v>10 / 1 / 0 / 1</v>
      </c>
      <c r="I8" s="19" t="s">
        <v>69</v>
      </c>
      <c r="J8" s="19"/>
      <c r="K8" s="19"/>
      <c r="L8" s="19"/>
      <c r="M8" s="19"/>
      <c r="N8" s="19"/>
      <c r="O8" s="19"/>
    </row>
    <row r="9" customFormat="false" ht="24" hidden="false" customHeight="true" outlineLevel="0" collapsed="false">
      <c r="A9" s="16" t="s">
        <v>7</v>
      </c>
      <c r="C9" s="17" t="n">
        <f aca="false">COUNTIF($K$13:$K$24,"Bloqué")</f>
        <v>0</v>
      </c>
      <c r="D9" s="18" t="n">
        <f aca="false">IF($C$5=0,0,C9/$C$5)</f>
        <v>0</v>
      </c>
      <c r="I9" s="19" t="s">
        <v>70</v>
      </c>
      <c r="J9" s="19"/>
      <c r="K9" s="19"/>
      <c r="L9" s="19"/>
      <c r="M9" s="19"/>
      <c r="N9" s="19"/>
      <c r="O9" s="19"/>
    </row>
    <row r="10" customFormat="false" ht="15" hidden="false" customHeight="false" outlineLevel="0" collapsed="false">
      <c r="A10" s="16" t="s">
        <v>8</v>
      </c>
      <c r="C10" s="17" t="n">
        <f aca="false">COUNTIF($K$13:$K$24,"N/A")</f>
        <v>0</v>
      </c>
      <c r="D10" s="18" t="n">
        <f aca="false">IF($C$5=0,0,C10/$C$5)</f>
        <v>0</v>
      </c>
    </row>
    <row r="12" customFormat="false" ht="30" hidden="false" customHeight="true" outlineLevel="0" collapsed="false">
      <c r="A12" s="3" t="s">
        <v>71</v>
      </c>
      <c r="B12" s="3" t="s">
        <v>72</v>
      </c>
      <c r="C12" s="3" t="s">
        <v>73</v>
      </c>
      <c r="D12" s="3" t="s">
        <v>74</v>
      </c>
      <c r="E12" s="3" t="s">
        <v>75</v>
      </c>
      <c r="F12" s="3" t="s">
        <v>76</v>
      </c>
      <c r="G12" s="3" t="s">
        <v>77</v>
      </c>
      <c r="H12" s="3" t="s">
        <v>78</v>
      </c>
      <c r="I12" s="3" t="s">
        <v>79</v>
      </c>
      <c r="J12" s="3" t="s">
        <v>80</v>
      </c>
      <c r="K12" s="3" t="s">
        <v>81</v>
      </c>
      <c r="L12" s="3" t="s">
        <v>82</v>
      </c>
      <c r="M12" s="3" t="s">
        <v>83</v>
      </c>
      <c r="N12" s="3" t="s">
        <v>84</v>
      </c>
      <c r="O12" s="3" t="s">
        <v>85</v>
      </c>
    </row>
    <row r="13" customFormat="false" ht="43.25" hidden="false" customHeight="false" outlineLevel="0" collapsed="false">
      <c r="A13" s="20" t="n">
        <v>1</v>
      </c>
      <c r="B13" s="20" t="s">
        <v>1067</v>
      </c>
      <c r="C13" s="20" t="s">
        <v>87</v>
      </c>
      <c r="D13" s="20" t="s">
        <v>1068</v>
      </c>
      <c r="E13" s="20" t="s">
        <v>160</v>
      </c>
      <c r="F13" s="20" t="s">
        <v>1069</v>
      </c>
      <c r="G13" s="20" t="s">
        <v>1070</v>
      </c>
      <c r="H13" s="20" t="s">
        <v>92</v>
      </c>
      <c r="I13" s="21"/>
      <c r="J13" s="22"/>
      <c r="K13" s="21"/>
      <c r="L13" s="21"/>
      <c r="M13" s="21"/>
      <c r="N13" s="23" t="s">
        <v>114</v>
      </c>
      <c r="O13" s="24" t="s">
        <v>1071</v>
      </c>
    </row>
    <row r="14" customFormat="false" ht="22.35" hidden="false" customHeight="false" outlineLevel="0" collapsed="false">
      <c r="A14" s="25" t="n">
        <v>2</v>
      </c>
      <c r="B14" s="25" t="s">
        <v>1067</v>
      </c>
      <c r="C14" s="25" t="s">
        <v>87</v>
      </c>
      <c r="D14" s="25" t="s">
        <v>1072</v>
      </c>
      <c r="E14" s="25" t="s">
        <v>1073</v>
      </c>
      <c r="F14" s="25" t="s">
        <v>1074</v>
      </c>
      <c r="G14" s="25" t="s">
        <v>1075</v>
      </c>
      <c r="H14" s="25" t="s">
        <v>109</v>
      </c>
      <c r="I14" s="21"/>
      <c r="J14" s="22"/>
      <c r="K14" s="21"/>
      <c r="L14" s="21"/>
      <c r="M14" s="21"/>
      <c r="N14" s="23" t="s">
        <v>5</v>
      </c>
      <c r="O14" s="24" t="s">
        <v>1076</v>
      </c>
    </row>
    <row r="15" customFormat="false" ht="22.35" hidden="false" customHeight="false" outlineLevel="0" collapsed="false">
      <c r="A15" s="20" t="n">
        <v>3</v>
      </c>
      <c r="B15" s="20" t="s">
        <v>1077</v>
      </c>
      <c r="C15" s="20" t="s">
        <v>87</v>
      </c>
      <c r="D15" s="20" t="s">
        <v>1078</v>
      </c>
      <c r="E15" s="20" t="s">
        <v>1079</v>
      </c>
      <c r="F15" s="20" t="s">
        <v>1080</v>
      </c>
      <c r="G15" s="20" t="s">
        <v>1081</v>
      </c>
      <c r="H15" s="20" t="s">
        <v>109</v>
      </c>
      <c r="I15" s="21"/>
      <c r="J15" s="22"/>
      <c r="K15" s="21"/>
      <c r="L15" s="21"/>
      <c r="M15" s="21"/>
      <c r="N15" s="23" t="s">
        <v>187</v>
      </c>
      <c r="O15" s="24" t="s">
        <v>1082</v>
      </c>
    </row>
    <row r="16" customFormat="false" ht="22.35" hidden="false" customHeight="false" outlineLevel="0" collapsed="false">
      <c r="A16" s="25" t="n">
        <v>4</v>
      </c>
      <c r="B16" s="25" t="s">
        <v>1083</v>
      </c>
      <c r="C16" s="25" t="s">
        <v>87</v>
      </c>
      <c r="D16" s="25" t="s">
        <v>1084</v>
      </c>
      <c r="E16" s="25" t="s">
        <v>160</v>
      </c>
      <c r="F16" s="25" t="s">
        <v>1085</v>
      </c>
      <c r="G16" s="25" t="s">
        <v>1086</v>
      </c>
      <c r="H16" s="25" t="s">
        <v>109</v>
      </c>
      <c r="I16" s="21"/>
      <c r="J16" s="22"/>
      <c r="K16" s="21"/>
      <c r="L16" s="21"/>
      <c r="M16" s="21"/>
      <c r="N16" s="23" t="s">
        <v>5</v>
      </c>
      <c r="O16" s="24" t="s">
        <v>1087</v>
      </c>
    </row>
    <row r="17" customFormat="false" ht="32.8" hidden="false" customHeight="false" outlineLevel="0" collapsed="false">
      <c r="A17" s="20" t="n">
        <v>5</v>
      </c>
      <c r="B17" s="20" t="s">
        <v>1077</v>
      </c>
      <c r="C17" s="20" t="s">
        <v>302</v>
      </c>
      <c r="D17" s="20" t="s">
        <v>303</v>
      </c>
      <c r="E17" s="20" t="s">
        <v>304</v>
      </c>
      <c r="F17" s="20" t="s">
        <v>1088</v>
      </c>
      <c r="G17" s="20" t="s">
        <v>306</v>
      </c>
      <c r="H17" s="20" t="s">
        <v>218</v>
      </c>
      <c r="I17" s="21"/>
      <c r="J17" s="22"/>
      <c r="K17" s="21"/>
      <c r="L17" s="21"/>
      <c r="M17" s="21"/>
      <c r="N17" s="23" t="s">
        <v>5</v>
      </c>
      <c r="O17" s="24" t="s">
        <v>399</v>
      </c>
    </row>
    <row r="18" customFormat="false" ht="32.8" hidden="false" customHeight="false" outlineLevel="0" collapsed="false">
      <c r="A18" s="25" t="n">
        <v>6</v>
      </c>
      <c r="B18" s="25" t="s">
        <v>1089</v>
      </c>
      <c r="C18" s="25" t="s">
        <v>302</v>
      </c>
      <c r="D18" s="25" t="s">
        <v>303</v>
      </c>
      <c r="E18" s="25" t="s">
        <v>304</v>
      </c>
      <c r="F18" s="25" t="s">
        <v>1090</v>
      </c>
      <c r="G18" s="25" t="s">
        <v>306</v>
      </c>
      <c r="H18" s="25" t="s">
        <v>218</v>
      </c>
      <c r="I18" s="21"/>
      <c r="J18" s="22"/>
      <c r="K18" s="21"/>
      <c r="L18" s="21"/>
      <c r="M18" s="21"/>
      <c r="N18" s="23" t="s">
        <v>5</v>
      </c>
      <c r="O18" s="24" t="s">
        <v>316</v>
      </c>
    </row>
    <row r="19" customFormat="false" ht="32.8" hidden="false" customHeight="false" outlineLevel="0" collapsed="false">
      <c r="A19" s="20" t="n">
        <v>7</v>
      </c>
      <c r="B19" s="20" t="s">
        <v>1083</v>
      </c>
      <c r="C19" s="20" t="s">
        <v>302</v>
      </c>
      <c r="D19" s="20" t="s">
        <v>303</v>
      </c>
      <c r="E19" s="20" t="s">
        <v>304</v>
      </c>
      <c r="F19" s="20" t="s">
        <v>1091</v>
      </c>
      <c r="G19" s="20" t="s">
        <v>306</v>
      </c>
      <c r="H19" s="20" t="s">
        <v>218</v>
      </c>
      <c r="I19" s="21"/>
      <c r="J19" s="22"/>
      <c r="K19" s="21"/>
      <c r="L19" s="21"/>
      <c r="M19" s="21"/>
      <c r="N19" s="23" t="s">
        <v>5</v>
      </c>
      <c r="O19" s="24" t="s">
        <v>316</v>
      </c>
    </row>
    <row r="20" customFormat="false" ht="32.8" hidden="false" customHeight="false" outlineLevel="0" collapsed="false">
      <c r="A20" s="25" t="n">
        <v>8</v>
      </c>
      <c r="B20" s="25" t="s">
        <v>1092</v>
      </c>
      <c r="C20" s="25" t="s">
        <v>302</v>
      </c>
      <c r="D20" s="25" t="s">
        <v>303</v>
      </c>
      <c r="E20" s="25" t="s">
        <v>304</v>
      </c>
      <c r="F20" s="25" t="s">
        <v>1093</v>
      </c>
      <c r="G20" s="25" t="s">
        <v>306</v>
      </c>
      <c r="H20" s="25" t="s">
        <v>218</v>
      </c>
      <c r="I20" s="21"/>
      <c r="J20" s="22"/>
      <c r="K20" s="21"/>
      <c r="L20" s="21"/>
      <c r="M20" s="21"/>
      <c r="N20" s="23" t="s">
        <v>5</v>
      </c>
      <c r="O20" s="24" t="s">
        <v>493</v>
      </c>
    </row>
    <row r="21" customFormat="false" ht="32.8" hidden="false" customHeight="false" outlineLevel="0" collapsed="false">
      <c r="A21" s="20" t="n">
        <v>9</v>
      </c>
      <c r="B21" s="20" t="s">
        <v>1067</v>
      </c>
      <c r="C21" s="20" t="s">
        <v>302</v>
      </c>
      <c r="D21" s="20" t="s">
        <v>303</v>
      </c>
      <c r="E21" s="20" t="s">
        <v>304</v>
      </c>
      <c r="F21" s="20" t="s">
        <v>1094</v>
      </c>
      <c r="G21" s="20" t="s">
        <v>306</v>
      </c>
      <c r="H21" s="20" t="s">
        <v>218</v>
      </c>
      <c r="I21" s="21"/>
      <c r="J21" s="22"/>
      <c r="K21" s="21"/>
      <c r="L21" s="21"/>
      <c r="M21" s="21"/>
      <c r="N21" s="23" t="s">
        <v>5</v>
      </c>
      <c r="O21" s="24" t="s">
        <v>734</v>
      </c>
    </row>
    <row r="22" customFormat="false" ht="32.8" hidden="false" customHeight="false" outlineLevel="0" collapsed="false">
      <c r="A22" s="25" t="n">
        <v>10</v>
      </c>
      <c r="B22" s="25" t="s">
        <v>611</v>
      </c>
      <c r="C22" s="25" t="s">
        <v>302</v>
      </c>
      <c r="D22" s="25" t="s">
        <v>303</v>
      </c>
      <c r="E22" s="25" t="s">
        <v>304</v>
      </c>
      <c r="F22" s="25" t="s">
        <v>1095</v>
      </c>
      <c r="G22" s="25" t="s">
        <v>306</v>
      </c>
      <c r="H22" s="25" t="s">
        <v>218</v>
      </c>
      <c r="I22" s="21"/>
      <c r="J22" s="22"/>
      <c r="K22" s="21"/>
      <c r="L22" s="21"/>
      <c r="M22" s="21"/>
      <c r="N22" s="23" t="s">
        <v>5</v>
      </c>
      <c r="O22" s="24" t="s">
        <v>311</v>
      </c>
    </row>
    <row r="23" customFormat="false" ht="32.8" hidden="false" customHeight="false" outlineLevel="0" collapsed="false">
      <c r="A23" s="20" t="n">
        <v>11</v>
      </c>
      <c r="B23" s="20" t="s">
        <v>1096</v>
      </c>
      <c r="C23" s="20" t="s">
        <v>302</v>
      </c>
      <c r="D23" s="20" t="s">
        <v>303</v>
      </c>
      <c r="E23" s="20" t="s">
        <v>304</v>
      </c>
      <c r="F23" s="20" t="s">
        <v>1097</v>
      </c>
      <c r="G23" s="20" t="s">
        <v>306</v>
      </c>
      <c r="H23" s="20" t="s">
        <v>218</v>
      </c>
      <c r="I23" s="21"/>
      <c r="J23" s="22"/>
      <c r="K23" s="21"/>
      <c r="L23" s="21"/>
      <c r="M23" s="21"/>
      <c r="N23" s="23" t="s">
        <v>5</v>
      </c>
      <c r="O23" s="24" t="s">
        <v>1098</v>
      </c>
    </row>
    <row r="24" customFormat="false" ht="43.25" hidden="false" customHeight="false" outlineLevel="0" collapsed="false">
      <c r="A24" s="25" t="n">
        <v>12</v>
      </c>
      <c r="B24" s="25" t="s">
        <v>1099</v>
      </c>
      <c r="C24" s="25" t="s">
        <v>302</v>
      </c>
      <c r="D24" s="25" t="s">
        <v>303</v>
      </c>
      <c r="E24" s="25" t="s">
        <v>304</v>
      </c>
      <c r="F24" s="25" t="s">
        <v>1100</v>
      </c>
      <c r="G24" s="25" t="s">
        <v>306</v>
      </c>
      <c r="H24" s="25" t="s">
        <v>218</v>
      </c>
      <c r="I24" s="21"/>
      <c r="J24" s="22"/>
      <c r="K24" s="21"/>
      <c r="L24" s="21"/>
      <c r="M24" s="21"/>
      <c r="N24" s="23" t="s">
        <v>5</v>
      </c>
      <c r="O24" s="24" t="s">
        <v>699</v>
      </c>
    </row>
  </sheetData>
  <autoFilter ref="A12:O24"/>
  <mergeCells count="6">
    <mergeCell ref="A1:O1"/>
    <mergeCell ref="I5:O5"/>
    <mergeCell ref="I6:O6"/>
    <mergeCell ref="I7:O7"/>
    <mergeCell ref="I8:O8"/>
    <mergeCell ref="I9:O9"/>
  </mergeCells>
  <conditionalFormatting sqref="K13:K224">
    <cfRule type="cellIs" priority="2" operator="equal" aboveAverage="0" equalAverage="0" bottom="0" percent="0" rank="0" text="" dxfId="9">
      <formula>"OK"</formula>
    </cfRule>
    <cfRule type="cellIs" priority="3" operator="equal" aboveAverage="0" equalAverage="0" bottom="0" percent="0" rank="0" text="" dxfId="10">
      <formula>"KO"</formula>
    </cfRule>
    <cfRule type="cellIs" priority="4" operator="equal" aboveAverage="0" equalAverage="0" bottom="0" percent="0" rank="0" text="" dxfId="11">
      <formula>"Bloqué"</formula>
    </cfRule>
  </conditionalFormatting>
  <conditionalFormatting sqref="N13:N24">
    <cfRule type="expression" priority="5" aboveAverage="0" equalAverage="0" bottom="0" percent="0" rank="0" text="" dxfId="9">
      <formula>LEFT(N13,2)="OK"</formula>
    </cfRule>
    <cfRule type="cellIs" priority="6" operator="equal" aboveAverage="0" equalAverage="0" bottom="0" percent="0" rank="0" text="" dxfId="10">
      <formula>"KO"</formula>
    </cfRule>
  </conditionalFormatting>
  <dataValidations count="2">
    <dataValidation allowBlank="true" error="Choisir un statut dans la liste" errorStyle="stop" operator="between" prompt="Non testé, OK, KO, Bloqué ou N/A" showDropDown="false" showErrorMessage="false" showInputMessage="false" sqref="K13:K224" type="list">
      <formula1>"Non testé,OK,KO,Bloqué,N/A"</formula1>
      <formula2>0</formula2>
    </dataValidation>
    <dataValidation allowBlank="true" error="Date attendue (jj/mm/aaaa)" errorStyle="stop" operator="greaterThan" showDropDown="false" showErrorMessage="false" showInputMessage="false" sqref="J13:J224" type="date">
      <formula1>DATE(2020,1,1)</formula1>
      <formula2>0</formula2>
    </dataValidation>
  </dataValidations>
  <printOptions headings="false" gridLines="false" gridLinesSet="true" horizontalCentered="true" verticalCentered="false"/>
  <pageMargins left="0.2" right="0.2" top="0.35" bottom="0.35" header="0.511811023622047" footer="0.1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&amp;L&amp;8 &amp;A&amp;C&amp;8 Page &amp;P / &amp;N&amp;R&amp;8 Cahier de recette Prestige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2026-10-24T09:09:05Z</dcterms:created>
  <dc:creator>openpyxl</dc:creator>
  <dc:description/>
  <dc:language>en-US</dc:language>
  <cp:lastModifiedBy/>
  <dcterms:modified xsi:type="dcterms:W3CDTF">2026-10-24T09:09:06Z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