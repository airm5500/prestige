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Cahier de recette" sheetId="1" state="visible" r:id="rId3"/>
  </sheets>
  <definedNames>
    <definedName function="false" hidden="false" localSheetId="0" name="_xlnm.Print_Titles" vbProcedure="false">'Cahier de recette'!$12:$12</definedName>
    <definedName function="false" hidden="true" localSheetId="0" name="_xlnm._FilterDatabase" vbProcedure="false">'Cahier de recette'!$A$12:$N$350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<sst xmlns="http://schemas.openxmlformats.org/spreadsheetml/2006/main" count="2737" uniqueCount="908">
  <si>
    <t xml:space="preserve">PRESTIGE — Cahier de recette</t>
  </si>
  <si>
    <t xml:space="preserve">Version testée :</t>
  </si>
  <si>
    <t xml:space="preserve">Base de test (jamais la production) :</t>
  </si>
  <si>
    <t xml:space="preserve">Synthèse</t>
  </si>
  <si>
    <t xml:space="preserve">Mode d'emploi</t>
  </si>
  <si>
    <t xml:space="preserve">Total des cas</t>
  </si>
  <si>
    <t xml:space="preserve">Avancement (testés hors N/A)</t>
  </si>
  <si>
    <t xml:space="preserve">Remplir uniquement les cellules jaunes : Testeur, Date (jj/mm/aaaa), Statut (liste), Résultat obtenu, N° ticket.</t>
  </si>
  <si>
    <t xml:space="preserve">Non testé</t>
  </si>
  <si>
    <t xml:space="preserve">Taux de réussite (OK / testés)</t>
  </si>
  <si>
    <t xml:space="preserve">Statut : Non testé (vide) · OK · KO (anomalie : décrire et ouvrir un ticket) · Bloqué (impossible à dérouler) · N/A (sans objet chez vous).</t>
  </si>
  <si>
    <t xml:space="preserve">OK</t>
  </si>
  <si>
    <t xml:space="preserve">KO en priorité Haute</t>
  </si>
  <si>
    <t xml:space="preserve">Exemple : Testeur « A. KONÉ » · Date 24/10/2026 · Statut KO · Résultat « Ticket imprimé sans le nom du vendeur » · Ticket « SUP-0042 ».</t>
  </si>
  <si>
    <t xml:space="preserve">KO</t>
  </si>
  <si>
    <t xml:space="preserve">Tests sur la copie de travail uniquement (jamais la base de production) ; sauvegarder la base avant chaque série.</t>
  </si>
  <si>
    <t xml:space="preserve">Bloqué</t>
  </si>
  <si>
    <t xml:space="preserve">Filtrer par Module, Type ou Priorité avec les flèches d'en-tête. Chacun des 250 écrans du menu a au moins une ligne « Ouverture et affichage ».</t>
  </si>
  <si>
    <t xml:space="preserve">N/A</t>
  </si>
  <si>
    <t xml:space="preserve">N°</t>
  </si>
  <si>
    <t xml:space="preserve">Module (menu)</t>
  </si>
  <si>
    <t xml:space="preserve">Écran</t>
  </si>
  <si>
    <t xml:space="preserve">Type de test</t>
  </si>
  <si>
    <t xml:space="preserve">Cas de test</t>
  </si>
  <si>
    <t xml:space="preserve">Prérequis</t>
  </si>
  <si>
    <t xml:space="preserve">Étapes</t>
  </si>
  <si>
    <t xml:space="preserve">Résultat attendu</t>
  </si>
  <si>
    <t xml:space="preserve">Priorité</t>
  </si>
  <si>
    <t xml:space="preserve">Testeur</t>
  </si>
  <si>
    <t xml:space="preserve">Date</t>
  </si>
  <si>
    <t xml:space="preserve">Statut</t>
  </si>
  <si>
    <t xml:space="preserve">Résultat obtenu / anomalie</t>
  </si>
  <si>
    <t xml:space="preserve">N° ticket</t>
  </si>
  <si>
    <t xml:space="preserve">Transversal</t>
  </si>
  <si>
    <t xml:space="preserve">Page de connexion</t>
  </si>
  <si>
    <t xml:space="preserve">Fonctionnel</t>
  </si>
  <si>
    <t xml:space="preserve">Connexion par identifiant et mot de passe</t>
  </si>
  <si>
    <t xml:space="preserve">Compte utilisateur actif</t>
  </si>
  <si>
    <t xml:space="preserve">1. Ouvrir http://&lt;serveur&gt;:8080/prestige
2. Saisir identifiant et mot de passe
3. Entrée</t>
  </si>
  <si>
    <t xml:space="preserve">L'accueil s'ouvre avec les menus du profil ; la connexion est notée au journal</t>
  </si>
  <si>
    <t xml:space="preserve">Haute</t>
  </si>
  <si>
    <t xml:space="preserve">Sécurité</t>
  </si>
  <si>
    <t xml:space="preserve">Mot de passe faux</t>
  </si>
  <si>
    <t xml:space="preserve">Compte actif</t>
  </si>
  <si>
    <t xml:space="preserve">1. Saisir un mauvais mot de passe 3 fois</t>
  </si>
  <si>
    <t xml:space="preserve">Refus à chaque essai, message générique (sans dire si l'identifiant existe) ; après plusieurs échecs, délai d'attente imposé</t>
  </si>
  <si>
    <t xml:space="preserve">Connexion par badge QR</t>
  </si>
  <si>
    <t xml:space="preserve">Employé rattaché à un utilisateur, badge actif imprimé en QR</t>
  </si>
  <si>
    <t xml:space="preserve">1. Cliquer « Se connecter avec mon badge »
2. Passer le QR devant la douchette</t>
  </si>
  <si>
    <t xml:space="preserve">Session ouverte au nom de l'employé, journal « par badge »</t>
  </si>
  <si>
    <t xml:space="preserve">Badge scanné dans le champ Identifiant</t>
  </si>
  <si>
    <t xml:space="preserve">Badge QR valide</t>
  </si>
  <si>
    <t xml:space="preserve">1. Cliquer dans « Identifiant »
2. Scanner le badge</t>
  </si>
  <si>
    <t xml:space="preserve">La lecture est reprise par la connexion par badge ; le contenu ne reste pas affiché ; session ouverte</t>
  </si>
  <si>
    <t xml:space="preserve">Moyenne</t>
  </si>
  <si>
    <t xml:space="preserve">Douchette en clavier QWERTY sur poste AZERTY</t>
  </si>
  <si>
    <t xml:space="preserve">Douchette réglée en anglais</t>
  </si>
  <si>
    <t xml:space="preserve">1. Scanner le badge en mode badge</t>
  </si>
  <si>
    <t xml:space="preserve">Connexion acceptée (lecture remise en ordre automatiquement)</t>
  </si>
  <si>
    <t xml:space="preserve">Ergonomie</t>
  </si>
  <si>
    <t xml:space="preserve">Lecture de badge déformée</t>
  </si>
  <si>
    <t xml:space="preserve">Douchette mal réglée ou Verr. Maj. actif</t>
  </si>
  <si>
    <t xml:space="preserve">1. Scanner le badge</t>
  </si>
  <si>
    <t xml:space="preserve">Message « Lecture du badge déformée » avec ce qui a été lu, secret masqué ; consigne Verr. Maj. si casse inversée</t>
  </si>
  <si>
    <t xml:space="preserve">Badge réimprimé après régénération</t>
  </si>
  <si>
    <t xml:space="preserve">QR régénéré dans RH</t>
  </si>
  <si>
    <t xml:space="preserve">1. Scanner l'ancien exemplaire
2. Scanner le nouveau</t>
  </si>
  <si>
    <t xml:space="preserve">Ancien : « Badge non reconnu », aucune session ; nouveau : connexion</t>
  </si>
  <si>
    <t xml:space="preserve">Badge désactivé / expiré / employé inactif</t>
  </si>
  <si>
    <t xml:space="preserve">Badge dans l'un de ces états</t>
  </si>
  <si>
    <t xml:space="preserve">« Badge non reconnu », aucune session ; raison notée dans server.log sans le secret</t>
  </si>
  <si>
    <t xml:space="preserve">Badge d'un employé sans compte utilisateur</t>
  </si>
  <si>
    <t xml:space="preserve">Employé non rattaché, badge imprimé en QR</t>
  </si>
  <si>
    <t xml:space="preserve">« Badge sans compte utilisateur » avec la marche à suivre, aucune session</t>
  </si>
  <si>
    <t xml:space="preserve">Session</t>
  </si>
  <si>
    <t xml:space="preserve">Déconnexion</t>
  </si>
  <si>
    <t xml:space="preserve">Session ouverte</t>
  </si>
  <si>
    <t xml:space="preserve">1. GESTION DES UTILISATEURS &gt; Deconnexion</t>
  </si>
  <si>
    <t xml:space="preserve">Retour à la page de connexion ; un appel à une page protégée redemande la connexion</t>
  </si>
  <si>
    <t xml:space="preserve">Droits</t>
  </si>
  <si>
    <t xml:space="preserve">Menus selon le profil</t>
  </si>
  <si>
    <t xml:space="preserve">Deux profils différents (caissier, admin)</t>
  </si>
  <si>
    <t xml:space="preserve">1. Se connecter avec chaque profil</t>
  </si>
  <si>
    <t xml:space="preserve">Chaque profil ne voit que les menus de ses droits ; une action interdite est refusée par le serveur</t>
  </si>
  <si>
    <t xml:space="preserve">Journaux</t>
  </si>
  <si>
    <t xml:space="preserve">Aucun secret dans les journaux</t>
  </si>
  <si>
    <t xml:space="preserve">Après une série de tests</t>
  </si>
  <si>
    <t xml:space="preserve">1. Ouvrir server.log et le Centre de support</t>
  </si>
  <si>
    <t xml:space="preserve">Aucun mot de passe, jeton, secret de badge ni texte de message patient dans les traces</t>
  </si>
  <si>
    <t xml:space="preserve">Toutes les fenêtres de modification</t>
  </si>
  <si>
    <t xml:space="preserve">Confirmation dans le bouton</t>
  </si>
  <si>
    <t xml:space="preserve">Écran avec suppression/désactivation</t>
  </si>
  <si>
    <t xml:space="preserve">1. Cliquer « Supprimer » ou « Désactiver »
2. Cliquer de nouveau</t>
  </si>
  <si>
    <t xml:space="preserve">1er clic : le bouton passe en « Confirmer… » sans fenêtre ; 2e clic : action faite ; sans 2e clic, le bouton revient seul</t>
  </si>
  <si>
    <t xml:space="preserve">Toutes les fenêtres</t>
  </si>
  <si>
    <t xml:space="preserve">Double clic sur un bouton qui ouvre une fenêtre</t>
  </si>
  <si>
    <t xml:space="preserve">—</t>
  </si>
  <si>
    <t xml:space="preserve">1. Double-cliquer rapidement sur un bouton d'ouverture</t>
  </si>
  <si>
    <t xml:space="preserve">Une seule fenêtre s'ouvre</t>
  </si>
  <si>
    <t xml:space="preserve">Navigation</t>
  </si>
  <si>
    <t xml:space="preserve">Clavier : Entrée, Tab, Échap</t>
  </si>
  <si>
    <t xml:space="preserve">Écran de saisie</t>
  </si>
  <si>
    <t xml:space="preserve">1. Enchaîner la saisie au clavier</t>
  </si>
  <si>
    <t xml:space="preserve">Entrée valide le champ / passe au suivant comme prévu ; Échap ferme une fenêtre sans rien changer</t>
  </si>
  <si>
    <t xml:space="preserve">Centre de support</t>
  </si>
  <si>
    <t xml:space="preserve">Aucune nouvelle erreur après la recette</t>
  </si>
  <si>
    <t xml:space="preserve">Fin de campagne</t>
  </si>
  <si>
    <t xml:space="preserve">1. CENTRE DE SUPPORT &gt; Diagnostic &amp; bugs</t>
  </si>
  <si>
    <t xml:space="preserve">Pas de nouvelle erreur Java / JavaScript / Ajax due aux tests ; chaque erreur trouvée a un ticket</t>
  </si>
  <si>
    <t xml:space="preserve">Performance</t>
  </si>
  <si>
    <t xml:space="preserve">Temps d'ouverture des écrans principaux</t>
  </si>
  <si>
    <t xml:space="preserve">Base de taille réelle</t>
  </si>
  <si>
    <t xml:space="preserve">1. Ouvrir Ventes, Pilotage, Gestion des entrées, Fiche article</t>
  </si>
  <si>
    <t xml:space="preserve">Chaque écran utilisable en moins de 3 s ; mesures reportées dans RAPPORT_LENTEUR_CONNEXION.md</t>
  </si>
  <si>
    <t xml:space="preserve">SERVICE CLIENT</t>
  </si>
  <si>
    <t xml:space="preserve">Ouverture de Caisse</t>
  </si>
  <si>
    <t xml:space="preserve">Ouvrir la caisse</t>
  </si>
  <si>
    <t xml:space="preserve">Fonds de caisse attribué</t>
  </si>
  <si>
    <t xml:space="preserve">1. Ouvrir la caisse avec le fonds</t>
  </si>
  <si>
    <t xml:space="preserve">Caisse ouverte ; les ventes deviennent possibles</t>
  </si>
  <si>
    <t xml:space="preserve">Ventes</t>
  </si>
  <si>
    <t xml:space="preserve">Vente au comptant</t>
  </si>
  <si>
    <t xml:space="preserve">Caisse ouverte, article en stock</t>
  </si>
  <si>
    <t xml:space="preserve">1. Nouvelle vente
2. Scanner ou taper le CIP, Entrée
3. Quantité
4. Clôturer, régler en espèces</t>
  </si>
  <si>
    <t xml:space="preserve">Ticket imprimé, stock diminué, montant en caisse</t>
  </si>
  <si>
    <t xml:space="preserve">Vente assurance (tiers-payant)</t>
  </si>
  <si>
    <t xml:space="preserve">Client assuré avec tiers-payant et taux</t>
  </si>
  <si>
    <t xml:space="preserve">1. Type de vente Assurance
2. Choisir l'assuré
3. Ajouter les articles
4. Clôturer</t>
  </si>
  <si>
    <t xml:space="preserve">Part assurance et part client calculées au taux ; bon enregistré</t>
  </si>
  <si>
    <t xml:space="preserve">Vente carnet</t>
  </si>
  <si>
    <t xml:space="preserve">Client carnet</t>
  </si>
  <si>
    <t xml:space="preserve">1. Type Carnet, choisir le client, vendre, clôturer</t>
  </si>
  <si>
    <t xml:space="preserve">Montant porté au compte du carnet</t>
  </si>
  <si>
    <t xml:space="preserve">Changement de tiers-payant sur la vente</t>
  </si>
  <si>
    <t xml:space="preserve">Vente assurance en cours</t>
  </si>
  <si>
    <t xml:space="preserve">1. Changer le tiers-payant
2. Valider sans choix puis avec choix</t>
  </si>
  <si>
    <t xml:space="preserve">Sans choix : champ signalé ; avec choix : vente mise à jour</t>
  </si>
  <si>
    <t xml:space="preserve">Vendeur tapé non reconnu</t>
  </si>
  <si>
    <t xml:space="preserve">Nouvelle vente</t>
  </si>
  <si>
    <t xml:space="preserve">1. Taper un nom inconnu dans « Vendeur », Tab</t>
  </si>
  <si>
    <t xml:space="preserve">Signal immédiat (bordure rouge, infobulle, alerte sans fenêtre) : la vente sera au nom de l'utilisateur connecté</t>
  </si>
  <si>
    <t xml:space="preserve">Vendeur tapé exact</t>
  </si>
  <si>
    <t xml:space="preserve">1. Taper le nom complet d'un vendeur, Tab</t>
  </si>
  <si>
    <t xml:space="preserve">Vendeur reconnu et retenu, pas de signal</t>
  </si>
  <si>
    <t xml:space="preserve">Basse</t>
  </si>
  <si>
    <t xml:space="preserve">Quantité décimale dans la grille</t>
  </si>
  <si>
    <t xml:space="preserve">Vente avec une ligne</t>
  </si>
  <si>
    <t xml:space="preserve">1. Taper 1.5 dans la colonne quantité, Entrée</t>
  </si>
  <si>
    <t xml:space="preserve">Quantité enregistrée en entier, sans erreur serveur</t>
  </si>
  <si>
    <t xml:space="preserve">QR code publicitaire scanné</t>
  </si>
  <si>
    <t xml:space="preserve">1. Scanner un QR de site internet dans « Produit »</t>
  </si>
  <si>
    <t xml:space="preserve">Message « QR code publicitaire » sans fenêtre, champ vidé, aucune recherche lancée</t>
  </si>
  <si>
    <t xml:space="preserve">Étiquette 2D (GS1) scannée</t>
  </si>
  <si>
    <t xml:space="preserve">Paramètre de lecture GS1 actif</t>
  </si>
  <si>
    <t xml:space="preserve">1. Scanner un DataMatrix produit</t>
  </si>
  <si>
    <t xml:space="preserve">Produit trouvé ; lot comparé, lot périmé refusé</t>
  </si>
  <si>
    <t xml:space="preserve">Règlement en points fidélité</t>
  </si>
  <si>
    <t xml:space="preserve">Client avec points, fidélité paramétrée</t>
  </si>
  <si>
    <t xml:space="preserve">1. Vente, mode de règlement « Points fidélité »</t>
  </si>
  <si>
    <t xml:space="preserve">Points déduits ; montant restant réglé autrement</t>
  </si>
  <si>
    <t xml:space="preserve">Déconditionnement automatique</t>
  </si>
  <si>
    <t xml:space="preserve">Article déconditionnable, stock détail insuffisant</t>
  </si>
  <si>
    <t xml:space="preserve">1. Vendre au détail</t>
  </si>
  <si>
    <t xml:space="preserve">Boîte déconditionnée automatiquement ; historique cohérent</t>
  </si>
  <si>
    <t xml:space="preserve">Modifier le client standard depuis la caisse</t>
  </si>
  <si>
    <t xml:space="preserve">Droit P_CLIENT_STANDARD_MAJ</t>
  </si>
  <si>
    <t xml:space="preserve">1. Client standard associé
2. « Modifier », saisir, Entrée</t>
  </si>
  <si>
    <t xml:space="preserve">Fiche, vente et caisse à jour ; sans le droit, bouton absent</t>
  </si>
  <si>
    <t xml:space="preserve">Pre-vente</t>
  </si>
  <si>
    <t xml:space="preserve">Prévente puis clôture en caisse</t>
  </si>
  <si>
    <t xml:space="preserve">Profil prévente et caissier</t>
  </si>
  <si>
    <t xml:space="preserve">1. Saisir la prévente
2. La reprendre en caisse et clôturer</t>
  </si>
  <si>
    <t xml:space="preserve">Vente reprise avec articles, vendeur et client ; clôturée par le caissier</t>
  </si>
  <si>
    <t xml:space="preserve">Vente dépôt</t>
  </si>
  <si>
    <t xml:space="preserve">Vente à un dépôt</t>
  </si>
  <si>
    <t xml:space="preserve">Dépôt existant</t>
  </si>
  <si>
    <t xml:space="preserve">1. Nouvelle vente dépôt, choisir le dépôt, articles, clôturer</t>
  </si>
  <si>
    <t xml:space="preserve">Stock du dépôt et de l'officine à jour</t>
  </si>
  <si>
    <t xml:space="preserve">Vente terminées</t>
  </si>
  <si>
    <t xml:space="preserve">Annuler une vente</t>
  </si>
  <si>
    <t xml:space="preserve">Vente du jour</t>
  </si>
  <si>
    <t xml:space="preserve">1. Annuler la vente</t>
  </si>
  <si>
    <t xml:space="preserve">Stock rendu, caisse corrigée ; la vente apparaît dans « Liste des ventes annulées » ; pas d'annulation en double</t>
  </si>
  <si>
    <t xml:space="preserve">Réimprimer un ticket</t>
  </si>
  <si>
    <t xml:space="preserve">Vente terminée</t>
  </si>
  <si>
    <t xml:space="preserve">1. Réimprimer</t>
  </si>
  <si>
    <t xml:space="preserve">Ticket identique à l'original</t>
  </si>
  <si>
    <t xml:space="preserve">Proforma</t>
  </si>
  <si>
    <t xml:space="preserve">Créer un proforma</t>
  </si>
  <si>
    <t xml:space="preserve">Client</t>
  </si>
  <si>
    <t xml:space="preserve">1. Nouveau proforma, client, articles
2. Imprimer</t>
  </si>
  <si>
    <t xml:space="preserve">Proforma imprimé, aucun mouvement de stock</t>
  </si>
  <si>
    <t xml:space="preserve">Cloture de Caisse</t>
  </si>
  <si>
    <t xml:space="preserve">Clôturer la caisse</t>
  </si>
  <si>
    <t xml:space="preserve">Ventes du jour</t>
  </si>
  <si>
    <t xml:space="preserve">1. Clôturer la caisse</t>
  </si>
  <si>
    <t xml:space="preserve">Billetage et total conformes aux ventes et mouvements ; caisse fermée</t>
  </si>
  <si>
    <t xml:space="preserve">Ordonnancier</t>
  </si>
  <si>
    <t xml:space="preserve">Consulter l'ordonnancier</t>
  </si>
  <si>
    <t xml:space="preserve">Ventes avec ordonnance</t>
  </si>
  <si>
    <t xml:space="preserve">1. Filtrer par période</t>
  </si>
  <si>
    <t xml:space="preserve">Ordonnances de la période, impression possible</t>
  </si>
  <si>
    <t xml:space="preserve">Points fidélité</t>
  </si>
  <si>
    <t xml:space="preserve">Paramétrer la fidélité</t>
  </si>
  <si>
    <t xml:space="preserve">Droit admin</t>
  </si>
  <si>
    <t xml:space="preserve">1. Régler points, paliers, produits éligibles, conversion</t>
  </si>
  <si>
    <t xml:space="preserve">Les ventes suivantes cumulent les points selon les règles</t>
  </si>
  <si>
    <t xml:space="preserve">Rappels traitement</t>
  </si>
  <si>
    <t xml:space="preserve">Rappel de renouvellement</t>
  </si>
  <si>
    <t xml:space="preserve">Client consentant, traitement suivi</t>
  </si>
  <si>
    <t xml:space="preserve">1. Ouvrir la liste des rappels</t>
  </si>
  <si>
    <t xml:space="preserve">Rappels dus listés ; impression PDF / export</t>
  </si>
  <si>
    <t xml:space="preserve">GESTION COURANTE</t>
  </si>
  <si>
    <t xml:space="preserve">Ticket Z</t>
  </si>
  <si>
    <t xml:space="preserve">Ticket Z du jour</t>
  </si>
  <si>
    <t xml:space="preserve">1. Éditer le ticket Z</t>
  </si>
  <si>
    <t xml:space="preserve">Totaux par mode de règlement égaux à la caisse</t>
  </si>
  <si>
    <t xml:space="preserve">Balance Vente/Caisse</t>
  </si>
  <si>
    <t xml:space="preserve">Balance sur une période</t>
  </si>
  <si>
    <t xml:space="preserve">Ventes sur la période</t>
  </si>
  <si>
    <t xml:space="preserve">1. Choisir la période</t>
  </si>
  <si>
    <t xml:space="preserve">Totaux cohérents avec les ventes terminées de la période</t>
  </si>
  <si>
    <t xml:space="preserve">Mouvements de Caisse</t>
  </si>
  <si>
    <t xml:space="preserve">Entrée / sortie de caisse</t>
  </si>
  <si>
    <t xml:space="preserve">Caisse ouverte</t>
  </si>
  <si>
    <t xml:space="preserve">1. Saisir un mouvement</t>
  </si>
  <si>
    <t xml:space="preserve">Mouvement visible et pris dans la clôture</t>
  </si>
  <si>
    <t xml:space="preserve">FACTURATION</t>
  </si>
  <si>
    <t xml:space="preserve">Gestion des différés</t>
  </si>
  <si>
    <t xml:space="preserve">Régler un différé</t>
  </si>
  <si>
    <t xml:space="preserve">Client avec ventes en différé</t>
  </si>
  <si>
    <t xml:space="preserve">1. Choisir le client
2. Saisir un règlement partiel puis total</t>
  </si>
  <si>
    <t xml:space="preserve">Solde mis à jour ; règlement non compté deux fois ; ticket de règlement</t>
  </si>
  <si>
    <t xml:space="preserve">Factures</t>
  </si>
  <si>
    <t xml:space="preserve">Générer les factures tiers-payant</t>
  </si>
  <si>
    <t xml:space="preserve">Bons de la période</t>
  </si>
  <si>
    <t xml:space="preserve">1. Générer pour un organisme</t>
  </si>
  <si>
    <t xml:space="preserve">Facture créée avec les bons ; impression et export</t>
  </si>
  <si>
    <t xml:space="preserve">Liste des Reglements</t>
  </si>
  <si>
    <t xml:space="preserve">Régler une facture</t>
  </si>
  <si>
    <t xml:space="preserve">Facture émise</t>
  </si>
  <si>
    <t xml:space="preserve">1. Saisir le règlement</t>
  </si>
  <si>
    <t xml:space="preserve">Facture soldée ou partiellement réglée ; balance âgée à jour</t>
  </si>
  <si>
    <t xml:space="preserve">GESTION DES TIERS-PAYANTS</t>
  </si>
  <si>
    <t xml:space="preserve">Tiers-payants</t>
  </si>
  <si>
    <t xml:space="preserve">Créer / modifier un tiers-payant</t>
  </si>
  <si>
    <t xml:space="preserve">Droit</t>
  </si>
  <si>
    <t xml:space="preserve">1. Créer, enregistrer, modifier le plafond</t>
  </si>
  <si>
    <t xml:space="preserve">Fiche enregistrée ; plafond pris en compte à la vente</t>
  </si>
  <si>
    <t xml:space="preserve">Tiers payants désactivés</t>
  </si>
  <si>
    <t xml:space="preserve">Lister et réactiver</t>
  </si>
  <si>
    <t xml:space="preserve">Tiers-payant désactivé</t>
  </si>
  <si>
    <t xml:space="preserve">1. Ouvrir la liste
2. Rechercher par nom</t>
  </si>
  <si>
    <t xml:space="preserve">Seuls les désactivés apparaissent ; recherche OK</t>
  </si>
  <si>
    <t xml:space="preserve">Clients</t>
  </si>
  <si>
    <t xml:space="preserve">Créer un client assuré</t>
  </si>
  <si>
    <t xml:space="preserve">Tiers-payant</t>
  </si>
  <si>
    <t xml:space="preserve">1. Créer le client avec matricule et taux</t>
  </si>
  <si>
    <t xml:space="preserve">Client utilisable en vente assurance</t>
  </si>
  <si>
    <t xml:space="preserve">Retour carnet dépôt</t>
  </si>
  <si>
    <t xml:space="preserve">Retour avec code lu à la douchette</t>
  </si>
  <si>
    <t xml:space="preserve">Tiers-payant carnet</t>
  </si>
  <si>
    <t xml:space="preserve">1. Nouveau retour, choisir le tiers-payant
2. Scanner le produit</t>
  </si>
  <si>
    <t xml:space="preserve">Produit trouvé ; code envoyé encodé (codes avec / ou # acceptés)</t>
  </si>
  <si>
    <t xml:space="preserve">Balance agée détaillée</t>
  </si>
  <si>
    <t xml:space="preserve">Balance âgée</t>
  </si>
  <si>
    <t xml:space="preserve">Factures non réglées</t>
  </si>
  <si>
    <t xml:space="preserve">1. Ouvrir, filtrer par organisme</t>
  </si>
  <si>
    <t xml:space="preserve">Montants par tranche d'âge cohérents avec les factures</t>
  </si>
  <si>
    <t xml:space="preserve">GESTION DES COMMANDES</t>
  </si>
  <si>
    <t xml:space="preserve">Suggestion de reappro.</t>
  </si>
  <si>
    <t xml:space="preserve">Générer la suggestion</t>
  </si>
  <si>
    <t xml:space="preserve">Ventes et stocks</t>
  </si>
  <si>
    <t xml:space="preserve">1. Générer</t>
  </si>
  <si>
    <t xml:space="preserve">Quantités proposées selon stock rayon + réserve, limitées à la capacité rayon</t>
  </si>
  <si>
    <t xml:space="preserve">Commande en cours</t>
  </si>
  <si>
    <t xml:space="preserve">Passer une commande grossiste</t>
  </si>
  <si>
    <t xml:space="preserve">Grossiste paramétré</t>
  </si>
  <si>
    <t xml:space="preserve">1. Créer la commande, ajouter des lignes
2. Envoyer (PharmaML si configuré)</t>
  </si>
  <si>
    <t xml:space="preserve">Commande envoyée ; l'envoi PharmaML ne bloque pas l'écran</t>
  </si>
  <si>
    <t xml:space="preserve">Gestion des entrées</t>
  </si>
  <si>
    <t xml:space="preserve">Réceptionner un BL</t>
  </si>
  <si>
    <t xml:space="preserve">Commande passée</t>
  </si>
  <si>
    <t xml:space="preserve">1. Saisir le BL : quantités, prix, lots, péremptions
2. Valider</t>
  </si>
  <si>
    <t xml:space="preserve">Stock augmenté ; BL refusé si des lignes ne sont pas saisies (produits nommés)</t>
  </si>
  <si>
    <t xml:space="preserve">Gros BL (plusieurs centaines de lignes)</t>
  </si>
  <si>
    <t xml:space="preserve">BL de 400+ lignes</t>
  </si>
  <si>
    <t xml:space="preserve">1. Ouvrir le BL (écran ou application mobile)</t>
  </si>
  <si>
    <t xml:space="preserve">Toutes les lignes en moins de 8 s</t>
  </si>
  <si>
    <t xml:space="preserve">Scan DataMatrix+/QR+ à la réception</t>
  </si>
  <si>
    <t xml:space="preserve">Étiquette 2D</t>
  </si>
  <si>
    <t xml:space="preserve">1. Scanner l'étiquette dans la commande en cours</t>
  </si>
  <si>
    <t xml:space="preserve">Prix et quantité repris ; produit créé si absent</t>
  </si>
  <si>
    <t xml:space="preserve">Pointer BL et avoirs</t>
  </si>
  <si>
    <t xml:space="preserve">Pointage avec relevé grossiste PDF</t>
  </si>
  <si>
    <t xml:space="preserve">Relevé PDF du grossiste</t>
  </si>
  <si>
    <t xml:space="preserve">1. Importer le relevé
2. Rapprocher</t>
  </si>
  <si>
    <t xml:space="preserve">BL et avoirs rapprochés ; écarts listés ; modèle du grossiste mémorisé</t>
  </si>
  <si>
    <t xml:space="preserve">Retour fournisseur</t>
  </si>
  <si>
    <t xml:space="preserve">Retour au grossiste</t>
  </si>
  <si>
    <t xml:space="preserve">Produits à retourner</t>
  </si>
  <si>
    <t xml:space="preserve">1. Créer le retour : une ligne par produit/motif/lot
2. Valider</t>
  </si>
  <si>
    <t xml:space="preserve">Stock diminué ; retour en attente puis traité</t>
  </si>
  <si>
    <t xml:space="preserve">Etat de contrôle Achats</t>
  </si>
  <si>
    <t xml:space="preserve">Contrôle des achats</t>
  </si>
  <si>
    <t xml:space="preserve">Achats de la période</t>
  </si>
  <si>
    <t xml:space="preserve">1. Filtrer</t>
  </si>
  <si>
    <t xml:space="preserve">Tableau de bord et filtres cohérents ; message complet (non tronqué)</t>
  </si>
  <si>
    <t xml:space="preserve">Péremptions courtes</t>
  </si>
  <si>
    <t xml:space="preserve">Liste des péremptions courtes</t>
  </si>
  <si>
    <t xml:space="preserve">Lots à péremption proche</t>
  </si>
  <si>
    <t xml:space="preserve">1. Ouvrir, exporter PDF/Excel</t>
  </si>
  <si>
    <t xml:space="preserve">Lots listés avec dates ; exports corrects</t>
  </si>
  <si>
    <t xml:space="preserve">GESTION DU STOCK</t>
  </si>
  <si>
    <t xml:space="preserve">Fiche Article</t>
  </si>
  <si>
    <t xml:space="preserve">Créer / modifier un article</t>
  </si>
  <si>
    <t xml:space="preserve">1. Créer l'article (CIP, prix, famille, emplacement)
2. Modifier le prix</t>
  </si>
  <si>
    <t xml:space="preserve">Article vendable ; mouvement de prix tracé (Mouchard)</t>
  </si>
  <si>
    <t xml:space="preserve">Travaux d'Inventaire</t>
  </si>
  <si>
    <t xml:space="preserve">Inventaire partiel</t>
  </si>
  <si>
    <t xml:space="preserve">Rayon choisi</t>
  </si>
  <si>
    <t xml:space="preserve">1. Créer l'inventaire limité aux produits du rayon
2. Saisir (CIP/GTIN/EAN)
3. Clôturer</t>
  </si>
  <si>
    <t xml:space="preserve">Écarts appliqués au stock ; auteur des saisies tracé</t>
  </si>
  <si>
    <t xml:space="preserve">Ajustement du Stock</t>
  </si>
  <si>
    <t xml:space="preserve">Ajustement rayon</t>
  </si>
  <si>
    <t xml:space="preserve">Article</t>
  </si>
  <si>
    <t xml:space="preserve">1. Ajouter un ajustement avec motif
2. Valider</t>
  </si>
  <si>
    <t xml:space="preserve">Stock corrigé, mouvement tracé</t>
  </si>
  <si>
    <t xml:space="preserve">Saisie des périmés</t>
  </si>
  <si>
    <t xml:space="preserve">Saisir des périmés</t>
  </si>
  <si>
    <t xml:space="preserve">Lots périmés</t>
  </si>
  <si>
    <t xml:space="preserve">1. Saisir le lot et la quantité</t>
  </si>
  <si>
    <t xml:space="preserve">Stock diminué ; périmé visible dans « Périmés rétirés du stock »</t>
  </si>
  <si>
    <t xml:space="preserve">Gestion des réserves</t>
  </si>
  <si>
    <t xml:space="preserve">Réserve : ajout et réassort</t>
  </si>
  <si>
    <t xml:space="preserve">Article avec réserve</t>
  </si>
  <si>
    <t xml:space="preserve">1. Ajouter une ligne de réserve
2. Réassort vers le rayon</t>
  </si>
  <si>
    <t xml:space="preserve">Stocks rayon / réserve cohérents</t>
  </si>
  <si>
    <t xml:space="preserve">Étiquettage Pro</t>
  </si>
  <si>
    <t xml:space="preserve">Imprimer des étiquettes</t>
  </si>
  <si>
    <t xml:space="preserve">Imprimante ou PDF</t>
  </si>
  <si>
    <t xml:space="preserve">1. Importer CSV/Excel ou saisir
2. Choisir le type de code
3. Imprimer</t>
  </si>
  <si>
    <t xml:space="preserve">Étiquettes conformes au modèle, codes lisibles</t>
  </si>
  <si>
    <t xml:space="preserve">Valorisation du stock</t>
  </si>
  <si>
    <t xml:space="preserve">Valorisation</t>
  </si>
  <si>
    <t xml:space="preserve">Stock</t>
  </si>
  <si>
    <t xml:space="preserve">1. Lancer la valorisation</t>
  </si>
  <si>
    <t xml:space="preserve">Valeur au prix d'achat et de vente cohérente avec l'état de stock</t>
  </si>
  <si>
    <t xml:space="preserve">ANALYSE DE GESTION</t>
  </si>
  <si>
    <t xml:space="preserve">Pilotage de l'officine</t>
  </si>
  <si>
    <t xml:space="preserve">Tableau de pilotage</t>
  </si>
  <si>
    <t xml:space="preserve">Ventes et achats</t>
  </si>
  <si>
    <t xml:space="preserve">1. Ouvrir, changer la période (jour, mois)</t>
  </si>
  <si>
    <t xml:space="preserve">Indicateurs cohérents avec les ventes ; « À suivre » chargé</t>
  </si>
  <si>
    <t xml:space="preserve">Ouverture du pilotage</t>
  </si>
  <si>
    <t xml:space="preserve">1. Ouvrir le pilotage (poste et mobile)</t>
  </si>
  <si>
    <t xml:space="preserve">Affiché en quelques secondes</t>
  </si>
  <si>
    <t xml:space="preserve">Statistique famille</t>
  </si>
  <si>
    <t xml:space="preserve">Stats par rayon / grossiste</t>
  </si>
  <si>
    <t xml:space="preserve">1. Filtrer par rayon puis grossiste</t>
  </si>
  <si>
    <t xml:space="preserve">Valeurs chiffrées (jamais NaN), cohérentes avec le CA</t>
  </si>
  <si>
    <t xml:space="preserve">Classification ABC</t>
  </si>
  <si>
    <t xml:space="preserve">Export ABC</t>
  </si>
  <si>
    <t xml:space="preserve">Base réelle</t>
  </si>
  <si>
    <t xml:space="preserve">1. Exporter</t>
  </si>
  <si>
    <t xml:space="preserve">Export obtenu en temps raisonnable, totaux cohérents</t>
  </si>
  <si>
    <t xml:space="preserve">Gestion des gardes</t>
  </si>
  <si>
    <t xml:space="preserve">Préparer une garde</t>
  </si>
  <si>
    <t xml:space="preserve">Garde planifiée</t>
  </si>
  <si>
    <t xml:space="preserve">1. Créer la garde, vendeurs, commandes</t>
  </si>
  <si>
    <t xml:space="preserve">PDF vendeurs / commandes / activité corrects</t>
  </si>
  <si>
    <t xml:space="preserve">PARAMETRAGES</t>
  </si>
  <si>
    <t xml:space="preserve">Fournisseurs SMS</t>
  </si>
  <si>
    <t xml:space="preserve">Configurer Orange / LeTexto</t>
  </si>
  <si>
    <t xml:space="preserve">Identifiants du fournisseur</t>
  </si>
  <si>
    <t xml:space="preserve">1. Ouvrir la fiche
2. Renseigner les champs (indications grisées)
3. Tester
4. Mettre en vigueur</t>
  </si>
  <si>
    <t xml:space="preserve">Test OK ; fournisseur en vigueur ; secrets jamais réaffichés</t>
  </si>
  <si>
    <t xml:space="preserve">Secrets masqués</t>
  </si>
  <si>
    <t xml:space="preserve">Fiche avec client secret</t>
  </si>
  <si>
    <t xml:space="preserve">1. Rouvrir la fiche</t>
  </si>
  <si>
    <t xml:space="preserve">Le secret apparaît masqué ; laisser le masque ne le change pas</t>
  </si>
  <si>
    <t xml:space="preserve">Paramétrage général</t>
  </si>
  <si>
    <t xml:space="preserve">Modifier un paramètre</t>
  </si>
  <si>
    <t xml:space="preserve">1. Modifier une valeur, enregistrer</t>
  </si>
  <si>
    <t xml:space="preserve">Valeur prise en compte sans redémarrage</t>
  </si>
  <si>
    <t xml:space="preserve">Identification Pharmacie</t>
  </si>
  <si>
    <t xml:space="preserve">Informations officine</t>
  </si>
  <si>
    <t xml:space="preserve">1. Modifier le nom abrégé</t>
  </si>
  <si>
    <t xml:space="preserve">Nom repris sur tickets et badges</t>
  </si>
  <si>
    <t xml:space="preserve">NOTIFICATIONS</t>
  </si>
  <si>
    <t xml:space="preserve">Gestion des Sms</t>
  </si>
  <si>
    <t xml:space="preserve">Messages sortants</t>
  </si>
  <si>
    <t xml:space="preserve">SMS envoyés</t>
  </si>
  <si>
    <t xml:space="preserve">1. Rechercher un message, renvoyer</t>
  </si>
  <si>
    <t xml:space="preserve">Statut à jour ; renvoi possible</t>
  </si>
  <si>
    <t xml:space="preserve">Campagnes SMS / WhatsApp</t>
  </si>
  <si>
    <t xml:space="preserve">Campagnes</t>
  </si>
  <si>
    <t xml:space="preserve">Campagne SMS / WhatsApp</t>
  </si>
  <si>
    <t xml:space="preserve">Clients consentants</t>
  </si>
  <si>
    <t xml:space="preserve">1. Créer, cibler, envoyer</t>
  </si>
  <si>
    <t xml:space="preserve">Seuls les consentants reçoivent ; texte des messages jamais journalisé</t>
  </si>
  <si>
    <t xml:space="preserve">RESSOURCES HUMAINES</t>
  </si>
  <si>
    <t xml:space="preserve">Ressources humaines</t>
  </si>
  <si>
    <t xml:space="preserve">Employé créé à partir d'un utilisateur</t>
  </si>
  <si>
    <t xml:space="preserve">Utilisateur sans fiche</t>
  </si>
  <si>
    <t xml:space="preserve">1. Onglet Employés &gt; Nouvel employé, choisir l'utilisateur</t>
  </si>
  <si>
    <t xml:space="preserve">Fiche pré-remplie et rattachée</t>
  </si>
  <si>
    <t xml:space="preserve">Créer et imprimer un badge QR</t>
  </si>
  <si>
    <t xml:space="preserve">Employé rattaché</t>
  </si>
  <si>
    <t xml:space="preserve">1. Onglet Badges : créer (numéro automatique)
2. Cocher, Imprimer (QR, A4 ou carte)</t>
  </si>
  <si>
    <t xml:space="preserve">PDF avec QR centré ; impression comptée</t>
  </si>
  <si>
    <t xml:space="preserve">Réimpression du badge</t>
  </si>
  <si>
    <t xml:space="preserve">Badge déjà imprimé en QR</t>
  </si>
  <si>
    <t xml:space="preserve">Même QR ; l'ancien exemplaire reste valable jusqu'à l'expiration</t>
  </si>
  <si>
    <t xml:space="preserve">Régénérer le QR</t>
  </si>
  <si>
    <t xml:space="preserve">Badge actif</t>
  </si>
  <si>
    <t xml:space="preserve">1. Fiche du badge &gt; « Régénérer le QR » (2 clics)</t>
  </si>
  <si>
    <t xml:space="preserve">Nouveau QR ; anciens exemplaires refusés ; message de réimpression</t>
  </si>
  <si>
    <t xml:space="preserve">Badge d'un employé sans compte</t>
  </si>
  <si>
    <t xml:space="preserve">Employé non rattaché</t>
  </si>
  <si>
    <t xml:space="preserve">1. Onglet Badges</t>
  </si>
  <si>
    <t xml:space="preserve">Ligne marquée « Sans compte utilisateur » ; avertissement à l'impression QR</t>
  </si>
  <si>
    <t xml:space="preserve">Désactiver un badge</t>
  </si>
  <si>
    <t xml:space="preserve">1. Désactiver (2 clics), motif</t>
  </si>
  <si>
    <t xml:space="preserve">Badge désactivé : plus de pointage ni de connexion</t>
  </si>
  <si>
    <t xml:space="preserve">Pointage</t>
  </si>
  <si>
    <t xml:space="preserve">Droit P_RH_POINTER</t>
  </si>
  <si>
    <t xml:space="preserve">1. Pointer depuis la session ou le QR de pointage</t>
  </si>
  <si>
    <t xml:space="preserve">Présence enregistrée ; planning et tableau à jour</t>
  </si>
  <si>
    <t xml:space="preserve">CENTRE DE SUPPORT</t>
  </si>
  <si>
    <t xml:space="preserve">Santé application</t>
  </si>
  <si>
    <t xml:space="preserve">Indicateurs de santé</t>
  </si>
  <si>
    <t xml:space="preserve">1. Ouvrir Santé application</t>
  </si>
  <si>
    <t xml:space="preserve">Base, mémoire, erreurs, e-mail expéditeur, SMS : chaque ligne dit « Configuré » ou ce qui manque</t>
  </si>
  <si>
    <t xml:space="preserve">SMS non configuré signalé</t>
  </si>
  <si>
    <t xml:space="preserve">Client ID vide sur le fournisseur</t>
  </si>
  <si>
    <t xml:space="preserve">1. Ouvrir Santé</t>
  </si>
  <si>
    <t xml:space="preserve">« SMS : Non configuré… À renseigner : Client ID »</t>
  </si>
  <si>
    <t xml:space="preserve">Me contacter</t>
  </si>
  <si>
    <t xml:space="preserve">Demande au support</t>
  </si>
  <si>
    <t xml:space="preserve">Expéditeur e-mail configuré</t>
  </si>
  <si>
    <t xml:space="preserve">1. Envoyer une demande avec pièce jointe</t>
  </si>
  <si>
    <t xml:space="preserve">Demande envoyée ; sans expéditeur : « échec d'envoi » avec le message de configuration</t>
  </si>
  <si>
    <t xml:space="preserve">Diagnostic &amp; bugs</t>
  </si>
  <si>
    <t xml:space="preserve">Auto-diagnostic</t>
  </si>
  <si>
    <t xml:space="preserve">1. Lancer les contrôles de cohérence</t>
  </si>
  <si>
    <t xml:space="preserve">Résultats affichés ; migrations Flyway en échec signalées</t>
  </si>
  <si>
    <t xml:space="preserve">Fonds de caisse</t>
  </si>
  <si>
    <t xml:space="preserve">Non-régression</t>
  </si>
  <si>
    <t xml:space="preserve">Ouverture et affichage de l'écran</t>
  </si>
  <si>
    <t xml:space="preserve">Profil ayant le droit du menu</t>
  </si>
  <si>
    <t xml:space="preserve">1. Ouvrir SERVICE CLIENT &gt; Fonds de caisse
2. Utiliser la recherche / les filtres de l'écran
3. Imprimer ou exporter si l'écran le propose</t>
  </si>
  <si>
    <t xml:space="preserve">L'écran s'ouvre sans message d'erreur ; la liste se charge ; filtres et impression/export fonctionnent ; aucune erreur au Centre de support</t>
  </si>
  <si>
    <t xml:space="preserve">1. Ouvrir SERVICE CLIENT &gt; Ouverture de Caisse
2. Utiliser la recherche / les filtres de l'écran
3. Imprimer ou exporter si l'écran le propose</t>
  </si>
  <si>
    <t xml:space="preserve">Liste des ventes dépots</t>
  </si>
  <si>
    <t xml:space="preserve">1. Ouvrir SERVICE CLIENT &gt; Liste des ventes dépots
2. Utiliser la recherche / les filtres de l'écran
3. Imprimer ou exporter si l'écran le propose</t>
  </si>
  <si>
    <t xml:space="preserve">1. Ouvrir SERVICE CLIENT &gt; Pre-vente
2. Utiliser la recherche / les filtres de l'écran
3. Imprimer ou exporter si l'écran le propose</t>
  </si>
  <si>
    <t xml:space="preserve">1. Ouvrir SERVICE CLIENT &gt; Ventes
2. Utiliser la recherche / les filtres de l'écran
3. Imprimer ou exporter si l'écran le propose</t>
  </si>
  <si>
    <t xml:space="preserve">1. Ouvrir SERVICE CLIENT &gt; Vente dépôt
2. Utiliser la recherche / les filtres de l'écran
3. Imprimer ou exporter si l'écran le propose</t>
  </si>
  <si>
    <t xml:space="preserve">1. Ouvrir SERVICE CLIENT &gt; Vente terminées
2. Utiliser la recherche / les filtres de l'écran
3. Imprimer ou exporter si l'écran le propose</t>
  </si>
  <si>
    <t xml:space="preserve">Analyse Posologie</t>
  </si>
  <si>
    <t xml:space="preserve">1. Ouvrir SERVICE CLIENT &gt; Analyse Posologie
2. Utiliser la recherche / les filtres de l'écran
3. Imprimer ou exporter si l'écran le propose</t>
  </si>
  <si>
    <t xml:space="preserve">1. Ouvrir SERVICE CLIENT &gt; Cloture de Caisse
2. Utiliser la recherche / les filtres de l'écran
3. Imprimer ou exporter si l'écran le propose</t>
  </si>
  <si>
    <t xml:space="preserve">Liste des ventes annulées</t>
  </si>
  <si>
    <t xml:space="preserve">1. Ouvrir SERVICE CLIENT &gt; Liste des ventes annulées
2. Utiliser la recherche / les filtres de l'écran
3. Imprimer ou exporter si l'écran le propose</t>
  </si>
  <si>
    <t xml:space="preserve">1. Ouvrir SERVICE CLIENT &gt; Proforma
2. Utiliser la recherche / les filtres de l'écran
3. Imprimer ou exporter si l'écran le propose</t>
  </si>
  <si>
    <t xml:space="preserve">Ventes ratées</t>
  </si>
  <si>
    <t xml:space="preserve">1. Ouvrir SERVICE CLIENT &gt; Ventes ratées
2. Utiliser la recherche / les filtres de l'écran
3. Imprimer ou exporter si l'écran le propose</t>
  </si>
  <si>
    <t xml:space="preserve">Modèles de messages</t>
  </si>
  <si>
    <t xml:space="preserve">1. Ouvrir SERVICE CLIENT &gt; Modèles de messages
2. Utiliser la recherche / les filtres de l'écran
3. Imprimer ou exporter si l'écran le propose</t>
  </si>
  <si>
    <t xml:space="preserve">1. Ouvrir SERVICE CLIENT &gt; Points fidélité
2. Utiliser la recherche / les filtres de l'écran
3. Imprimer ou exporter si l'écran le propose</t>
  </si>
  <si>
    <t xml:space="preserve">1. Ouvrir SERVICE CLIENT &gt; Rappels traitement
2. Utiliser la recherche / les filtres de l'écran
3. Imprimer ou exporter si l'écran le propose</t>
  </si>
  <si>
    <t xml:space="preserve">Liste des avoirs</t>
  </si>
  <si>
    <t xml:space="preserve">1. Ouvrir SERVICE CLIENT &gt; Liste des avoirs
2. Utiliser la recherche / les filtres de l'écran
3. Imprimer ou exporter si l'écran le propose</t>
  </si>
  <si>
    <t xml:space="preserve">1. Ouvrir SERVICE CLIENT &gt; Ordonnancier
2. Utiliser la recherche / les filtres de l'écran
3. Imprimer ou exporter si l'écran le propose</t>
  </si>
  <si>
    <t xml:space="preserve">Suivi dossier client</t>
  </si>
  <si>
    <t xml:space="preserve">1. Ouvrir SERVICE CLIENT &gt; Suivi dossier client
2. Utiliser la recherche / les filtres de l'écran
3. Imprimer ou exporter si l'écran le propose</t>
  </si>
  <si>
    <t xml:space="preserve">Ventes sans n° de bon</t>
  </si>
  <si>
    <t xml:space="preserve">1. Ouvrir SERVICE CLIENT &gt; Ventes sans n° de bon
2. Utiliser la recherche / les filtres de l'écran
3. Imprimer ou exporter si l'écran le propose</t>
  </si>
  <si>
    <t xml:space="preserve">Vendeurs et caissiers</t>
  </si>
  <si>
    <t xml:space="preserve">1. Ouvrir SERVICE CLIENT &gt; Vendeurs et caissiers
2. Utiliser la recherche / les filtres de l'écran
3. Imprimer ou exporter si l'écran le propose</t>
  </si>
  <si>
    <t xml:space="preserve">Corbeille des ventes</t>
  </si>
  <si>
    <t xml:space="preserve">1. Ouvrir SERVICE CLIENT &gt; Corbeille des ventes
2. Utiliser la recherche / les filtres de l'écran
3. Imprimer ou exporter si l'écran le propose</t>
  </si>
  <si>
    <t xml:space="preserve">Retraits et abandons</t>
  </si>
  <si>
    <t xml:space="preserve">1. Ouvrir SERVICE CLIENT &gt; Retraits et abandons
2. Utiliser la recherche / les filtres de l'écran
3. Imprimer ou exporter si l'écran le propose</t>
  </si>
  <si>
    <t xml:space="preserve">1. Ouvrir GESTION COURANTE &gt; Ticket Z
2. Utiliser la recherche / les filtres de l'écran
3. Imprimer ou exporter si l'écran le propose</t>
  </si>
  <si>
    <t xml:space="preserve">Bons par organisme</t>
  </si>
  <si>
    <t xml:space="preserve">1. Ouvrir GESTION COURANTE &gt; Bons par organisme
2. Utiliser la recherche / les filtres de l'écran
3. Imprimer ou exporter si l'écran le propose</t>
  </si>
  <si>
    <t xml:space="preserve">1. Ouvrir GESTION COURANTE &gt; Mouvements de Caisse
2. Utiliser la recherche / les filtres de l'écran
3. Imprimer ou exporter si l'écran le propose</t>
  </si>
  <si>
    <t xml:space="preserve">Visualiser la caisse</t>
  </si>
  <si>
    <t xml:space="preserve">1. Ouvrir GESTION COURANTE &gt; Visualiser la caisse
2. Utiliser la recherche / les filtres de l'écran
3. Imprimer ou exporter si l'écran le propose</t>
  </si>
  <si>
    <t xml:space="preserve">Gestion Caisse</t>
  </si>
  <si>
    <t xml:space="preserve">1. Ouvrir GESTION COURANTE &gt; Gestion Caisse
2. Utiliser la recherche / les filtres de l'écran
3. Imprimer ou exporter si l'écran le propose</t>
  </si>
  <si>
    <t xml:space="preserve">Liste de Caisse</t>
  </si>
  <si>
    <t xml:space="preserve">1. Ouvrir GESTION COURANTE &gt; Liste de Caisse
2. Utiliser la recherche / les filtres de l'écran
3. Imprimer ou exporter si l'écran le propose</t>
  </si>
  <si>
    <t xml:space="preserve">1. Ouvrir GESTION COURANTE &gt; Balance Vente/Caisse
2. Utiliser la recherche / les filtres de l'écran
3. Imprimer ou exporter si l'écran le propose</t>
  </si>
  <si>
    <t xml:space="preserve">Balance Depot</t>
  </si>
  <si>
    <t xml:space="preserve">1. Ouvrir GESTION COURANTE &gt; Balance Depot
2. Utiliser la recherche / les filtres de l'écran
3. Imprimer ou exporter si l'écran le propose</t>
  </si>
  <si>
    <t xml:space="preserve">Point Caisse Depot</t>
  </si>
  <si>
    <t xml:space="preserve">1. Ouvrir GESTION COURANTE &gt; Point Caisse Depot
2. Utiliser la recherche / les filtres de l'écran
3. Imprimer ou exporter si l'écran le propose</t>
  </si>
  <si>
    <t xml:space="preserve">Liste des mouvements</t>
  </si>
  <si>
    <t xml:space="preserve">1. Ouvrir GESTION COURANTE &gt; Liste des mouvements
2. Utiliser la recherche / les filtres de l'écran
3. Imprimer ou exporter si l'écran le propose</t>
  </si>
  <si>
    <t xml:space="preserve">Balance para</t>
  </si>
  <si>
    <t xml:space="preserve">1. Ouvrir GESTION COURANTE &gt; Balance para
2. Utiliser la recherche / les filtres de l'écran
3. Imprimer ou exporter si l'écran le propose</t>
  </si>
  <si>
    <t xml:space="preserve">Liste des bons</t>
  </si>
  <si>
    <t xml:space="preserve">1. Ouvrir GESTION COURANTE &gt; Liste des bons
2. Utiliser la recherche / les filtres de l'écran
3. Imprimer ou exporter si l'écran le propose</t>
  </si>
  <si>
    <t xml:space="preserve">Articles vendus récap</t>
  </si>
  <si>
    <t xml:space="preserve">1. Ouvrir GESTION COURANTE &gt; Articles vendus récap
2. Utiliser la recherche / les filtres de l'écran
3. Imprimer ou exporter si l'écran le propose</t>
  </si>
  <si>
    <t xml:space="preserve">Caisse/recette</t>
  </si>
  <si>
    <t xml:space="preserve">1. Ouvrir GESTION COURANTE &gt; Caisse/recette
2. Utiliser la recherche / les filtres de l'écran
3. Imprimer ou exporter si l'écran le propose</t>
  </si>
  <si>
    <t xml:space="preserve">Liste des articles vendus</t>
  </si>
  <si>
    <t xml:space="preserve">1. Ouvrir GESTION COURANTE &gt; Liste des articles vendus
2. Utiliser la recherche / les filtres de l'écran
3. Imprimer ou exporter si l'écran le propose</t>
  </si>
  <si>
    <t xml:space="preserve">Mouchard prix de vente</t>
  </si>
  <si>
    <t xml:space="preserve">1. Ouvrir GESTION COURANTE &gt; Mouchard prix de vente
2. Utiliser la recherche / les filtres de l'écran
3. Imprimer ou exporter si l'écran le propose</t>
  </si>
  <si>
    <t xml:space="preserve">1. Ouvrir FACTURATION &gt; Gestion des différés
2. Utiliser la recherche / les filtres de l'écran
3. Imprimer ou exporter si l'écran le propose</t>
  </si>
  <si>
    <t xml:space="preserve">1. Ouvrir FACTURATION &gt; Liste des Reglements
2. Utiliser la recherche / les filtres de l'écran
3. Imprimer ou exporter si l'écran le propose</t>
  </si>
  <si>
    <t xml:space="preserve">1. Ouvrir FACTURATION &gt; Factures
2. Utiliser la recherche / les filtres de l'écran
3. Imprimer ou exporter si l'écran le propose</t>
  </si>
  <si>
    <t xml:space="preserve">Dossiers à facturer</t>
  </si>
  <si>
    <t xml:space="preserve">1. Ouvrir FACTURATION &gt; Dossiers à facturer
2. Utiliser la recherche / les filtres de l'écran
3. Imprimer ou exporter si l'écran le propose</t>
  </si>
  <si>
    <t xml:space="preserve">Récap par organisme</t>
  </si>
  <si>
    <t xml:space="preserve">1. Ouvrir FACTURATION &gt; Récap par organisme
2. Utiliser la recherche / les filtres de l'écran
3. Imprimer ou exporter si l'écran le propose</t>
  </si>
  <si>
    <t xml:space="preserve">Factures Compagnies Ass</t>
  </si>
  <si>
    <t xml:space="preserve">1. Ouvrir FACTURATION &gt; Factures Compagnies Ass
2. Utiliser la recherche / les filtres de l'écran
3. Imprimer ou exporter si l'écran le propose</t>
  </si>
  <si>
    <t xml:space="preserve">Factures provisoires</t>
  </si>
  <si>
    <t xml:space="preserve">1. Ouvrir FACTURATION &gt; Factures provisoires
2. Utiliser la recherche / les filtres de l'écran
3. Imprimer ou exporter si l'écran le propose</t>
  </si>
  <si>
    <t xml:space="preserve">Modèle de facture</t>
  </si>
  <si>
    <t xml:space="preserve">1. Ouvrir FACTURATION &gt; Modèle de facture
2. Utiliser la recherche / les filtres de l'écran
3. Imprimer ou exporter si l'écran le propose</t>
  </si>
  <si>
    <t xml:space="preserve">Suivi des bons</t>
  </si>
  <si>
    <t xml:space="preserve">1. Ouvrir FACTURATION &gt; Suivi des bons
2. Utiliser la recherche / les filtres de l'écran
3. Imprimer ou exporter si l'écran le propose</t>
  </si>
  <si>
    <t xml:space="preserve">Modèles de facture</t>
  </si>
  <si>
    <t xml:space="preserve">1. Ouvrir FACTURATION &gt; Modèles de facture
2. Utiliser la recherche / les filtres de l'écran
3. Imprimer ou exporter si l'écran le propose</t>
  </si>
  <si>
    <t xml:space="preserve">GESTION DES PROMOTIONS</t>
  </si>
  <si>
    <t xml:space="preserve">Promotions</t>
  </si>
  <si>
    <t xml:space="preserve">1. Ouvrir GESTION DES PROMOTIONS &gt; Promotions
2. Utiliser la recherche / les filtres de l'écran
3. Imprimer ou exporter si l'écran le propose</t>
  </si>
  <si>
    <t xml:space="preserve">Historique des Promotions</t>
  </si>
  <si>
    <t xml:space="preserve">1. Ouvrir GESTION DES PROMOTIONS &gt; Historique des Promotions
2. Utiliser la recherche / les filtres de l'écran
3. Imprimer ou exporter si l'écran le propose</t>
  </si>
  <si>
    <t xml:space="preserve">1. Ouvrir GESTION DES TIERS-PAYANTS &gt; Balance agée détaillée
2. Utiliser la recherche / les filtres de l'écran
3. Imprimer ou exporter si l'écran le propose</t>
  </si>
  <si>
    <t xml:space="preserve">Groupe et Compagnie d'Ass</t>
  </si>
  <si>
    <t xml:space="preserve">1. Ouvrir GESTION DES TIERS-PAYANTS &gt; Groupe et Compagnie d'Ass
2. Utiliser la recherche / les filtres de l'écran
3. Imprimer ou exporter si l'écran le propose</t>
  </si>
  <si>
    <t xml:space="preserve">Emplacements/Depot</t>
  </si>
  <si>
    <t xml:space="preserve">1. Ouvrir GESTION DES TIERS-PAYANTS &gt; Emplacements/Depot
2. Utiliser la recherche / les filtres de l'écran
3. Imprimer ou exporter si l'écran le propose</t>
  </si>
  <si>
    <t xml:space="preserve">Gestion des litiges</t>
  </si>
  <si>
    <t xml:space="preserve">1. Ouvrir GESTION DES TIERS-PAYANTS &gt; Gestion des litiges
2. Utiliser la recherche / les filtres de l'écran
3. Imprimer ou exporter si l'écran le propose</t>
  </si>
  <si>
    <t xml:space="preserve">1. Ouvrir GESTION DES TIERS-PAYANTS &gt; Tiers payants désactivés
2. Utiliser la recherche / les filtres de l'écran
3. Imprimer ou exporter si l'écran le propose</t>
  </si>
  <si>
    <t xml:space="preserve">Balance âgée récap</t>
  </si>
  <si>
    <t xml:space="preserve">1. Ouvrir GESTION DES TIERS-PAYANTS &gt; Balance âgée récap
2. Utiliser la recherche / les filtres de l'écran
3. Imprimer ou exporter si l'écran le propose</t>
  </si>
  <si>
    <t xml:space="preserve">Clients désactivés</t>
  </si>
  <si>
    <t xml:space="preserve">1. Ouvrir GESTION DES TIERS-PAYANTS &gt; Clients désactivés
2. Utiliser la recherche / les filtres de l'écran
3. Imprimer ou exporter si l'écran le propose</t>
  </si>
  <si>
    <t xml:space="preserve">Type tiers-payants</t>
  </si>
  <si>
    <t xml:space="preserve">1. Ouvrir GESTION DES TIERS-PAYANTS &gt; Type tiers-payants
2. Utiliser la recherche / les filtres de l'écran
3. Imprimer ou exporter si l'écran le propose</t>
  </si>
  <si>
    <t xml:space="preserve">Taux Rembourssement</t>
  </si>
  <si>
    <t xml:space="preserve">1. Ouvrir GESTION DES TIERS-PAYANTS &gt; Taux Rembourssement
2. Utiliser la recherche / les filtres de l'écran
3. Imprimer ou exporter si l'écran le propose</t>
  </si>
  <si>
    <t xml:space="preserve">Dossiers Tiers-payants</t>
  </si>
  <si>
    <t xml:space="preserve">1. Ouvrir GESTION DES TIERS-PAYANTS &gt; Dossiers Tiers-payants
2. Utiliser la recherche / les filtres de l'écran
3. Imprimer ou exporter si l'écran le propose</t>
  </si>
  <si>
    <t xml:space="preserve">Grille de Remise</t>
  </si>
  <si>
    <t xml:space="preserve">1. Ouvrir GESTION DES TIERS-PAYANTS &gt; Grille de Remise
2. Utiliser la recherche / les filtres de l'écran
3. Imprimer ou exporter si l'écran le propose</t>
  </si>
  <si>
    <t xml:space="preserve">Regimes Caisse</t>
  </si>
  <si>
    <t xml:space="preserve">1. Ouvrir GESTION DES TIERS-PAYANTS &gt; Regimes Caisse
2. Utiliser la recherche / les filtres de l'écran
3. Imprimer ou exporter si l'écran le propose</t>
  </si>
  <si>
    <t xml:space="preserve">Remises</t>
  </si>
  <si>
    <t xml:space="preserve">1. Ouvrir GESTION DES TIERS-PAYANTS &gt; Remises
2. Utiliser la recherche / les filtres de l'écran
3. Imprimer ou exporter si l'écran le propose</t>
  </si>
  <si>
    <t xml:space="preserve">1. Ouvrir GESTION DES TIERS-PAYANTS &gt; Tiers-payants
2. Utiliser la recherche / les filtres de l'écran
3. Imprimer ou exporter si l'écran le propose</t>
  </si>
  <si>
    <t xml:space="preserve">1. Ouvrir GESTION DES TIERS-PAYANTS &gt; Clients
2. Utiliser la recherche / les filtres de l'écran
3. Imprimer ou exporter si l'écran le propose</t>
  </si>
  <si>
    <t xml:space="preserve">Societes</t>
  </si>
  <si>
    <t xml:space="preserve">1. Ouvrir GESTION DES TIERS-PAYANTS &gt; Societes
2. Utiliser la recherche / les filtres de l'écran
3. Imprimer ou exporter si l'écran le propose</t>
  </si>
  <si>
    <t xml:space="preserve">Gerer les tp a exclure</t>
  </si>
  <si>
    <t xml:space="preserve">1. Ouvrir GESTION DES TIERS-PAYANTS &gt; Gerer les tp a exclure
2. Utiliser la recherche / les filtres de l'écran
3. Imprimer ou exporter si l'écran le propose</t>
  </si>
  <si>
    <t xml:space="preserve">1. Ouvrir GESTION DES TIERS-PAYANTS &gt; Retour carnet dépôt
2. Utiliser la recherche / les filtres de l'écran
3. Imprimer ou exporter si l'écran le propose</t>
  </si>
  <si>
    <t xml:space="preserve">Tiers-payants exclus</t>
  </si>
  <si>
    <t xml:space="preserve">1. Ouvrir GESTION DES TIERS-PAYANTS &gt; Tiers-payants exclus
2. Utiliser la recherche / les filtres de l'écran
3. Imprimer ou exporter si l'écran le propose</t>
  </si>
  <si>
    <t xml:space="preserve">Depot carnet</t>
  </si>
  <si>
    <t xml:space="preserve">1. Ouvrir GESTION DES TIERS-PAYANTS &gt; Depot carnet
2. Utiliser la recherche / les filtres de l'écran
3. Imprimer ou exporter si l'écran le propose</t>
  </si>
  <si>
    <t xml:space="preserve">Gestion carnet dépôt</t>
  </si>
  <si>
    <t xml:space="preserve">1. Ouvrir GESTION DES TIERS-PAYANTS &gt; Gestion carnet dépôt
2. Utiliser la recherche / les filtres de l'écran
3. Imprimer ou exporter si l'écran le propose</t>
  </si>
  <si>
    <t xml:space="preserve">Balance carnet</t>
  </si>
  <si>
    <t xml:space="preserve">1. Ouvrir GESTION DES TIERS-PAYANTS &gt; Balance carnet
2. Utiliser la recherche / les filtres de l'écran
3. Imprimer ou exporter si l'écran le propose</t>
  </si>
  <si>
    <t xml:space="preserve">Cautions</t>
  </si>
  <si>
    <t xml:space="preserve">1. Ouvrir GESTION DES TIERS-PAYANTS &gt; Cautions
2. Utiliser la recherche / les filtres de l'écran
3. Imprimer ou exporter si l'écran le propose</t>
  </si>
  <si>
    <t xml:space="preserve">Gestion depots extensions</t>
  </si>
  <si>
    <t xml:space="preserve">1. Ouvrir GESTION DES TIERS-PAYANTS &gt; Gestion depots extensions
2. Utiliser la recherche / les filtres de l'écran
3. Imprimer ou exporter si l'écran le propose</t>
  </si>
  <si>
    <t xml:space="preserve">Catégorie Client</t>
  </si>
  <si>
    <t xml:space="preserve">1. Ouvrir GESTION DES TIERS-PAYANTS &gt; Catégorie Client
2. Utiliser la recherche / les filtres de l'écran
3. Imprimer ou exporter si l'écran le propose</t>
  </si>
  <si>
    <t xml:space="preserve">MENU PHARMACIEN</t>
  </si>
  <si>
    <t xml:space="preserve">Ventes modifiées</t>
  </si>
  <si>
    <t xml:space="preserve">1. Ouvrir MENU PHARMACIEN &gt; Ventes modifiées
2. Utiliser la recherche / les filtres de l'écran
3. Imprimer ou exporter si l'écran le propose</t>
  </si>
  <si>
    <t xml:space="preserve">Fichier Journal</t>
  </si>
  <si>
    <t xml:space="preserve">1. Ouvrir MENU PHARMACIEN &gt; Fichier Journal
2. Utiliser la recherche / les filtres de l'écran
3. Imprimer ou exporter si l'écran le propose</t>
  </si>
  <si>
    <t xml:space="preserve">Articles en sur-stock</t>
  </si>
  <si>
    <t xml:space="preserve">1. Ouvrir MENU PHARMACIEN &gt; Articles en sur-stock
2. Utiliser la recherche / les filtres de l'écran
3. Imprimer ou exporter si l'écran le propose</t>
  </si>
  <si>
    <t xml:space="preserve">Gestion des surstocks</t>
  </si>
  <si>
    <t xml:space="preserve">1. Ouvrir MENU PHARMACIEN &gt; Gestion des surstocks
2. Utiliser la recherche / les filtres de l'écran
3. Imprimer ou exporter si l'écran le propose</t>
  </si>
  <si>
    <t xml:space="preserve">1. Ouvrir GESTION DES COMMANDES &gt; Suggestion de reappro.
2. Utiliser la recherche / les filtres de l'écran
3. Imprimer ou exporter si l'écran le propose</t>
  </si>
  <si>
    <t xml:space="preserve">Prévisions</t>
  </si>
  <si>
    <t xml:space="preserve">1. Ouvrir GESTION DES COMMANDES &gt; Prévisions
2. Utiliser la recherche / les filtres de l'écran
3. Imprimer ou exporter si l'écran le propose</t>
  </si>
  <si>
    <t xml:space="preserve">1. Ouvrir GESTION DES COMMANDES &gt; Péremptions courtes
2. Utiliser la recherche / les filtres de l'écran
3. Imprimer ou exporter si l'écran le propose</t>
  </si>
  <si>
    <t xml:space="preserve">1. Ouvrir GESTION DES COMMANDES &gt; Commande en cours
2. Utiliser la recherche / les filtres de l'écran
3. Imprimer ou exporter si l'écran le propose</t>
  </si>
  <si>
    <t xml:space="preserve">Proposition Commande</t>
  </si>
  <si>
    <t xml:space="preserve">1. Ouvrir GESTION DES COMMANDES &gt; Proposition Commande
2. Utiliser la recherche / les filtres de l'écran
3. Imprimer ou exporter si l'écran le propose</t>
  </si>
  <si>
    <t xml:space="preserve">Validation Commande</t>
  </si>
  <si>
    <t xml:space="preserve">1. Ouvrir GESTION DES COMMANDES &gt; Validation Commande
2. Utiliser la recherche / les filtres de l'écran
3. Imprimer ou exporter si l'écran le propose</t>
  </si>
  <si>
    <t xml:space="preserve">Traitement Commande</t>
  </si>
  <si>
    <t xml:space="preserve">1. Ouvrir GESTION DES COMMANDES &gt; Traitement Commande
2. Utiliser la recherche / les filtres de l'écran
3. Imprimer ou exporter si l'écran le propose</t>
  </si>
  <si>
    <t xml:space="preserve">Transaction Commande</t>
  </si>
  <si>
    <t xml:space="preserve">1. Ouvrir GESTION DES COMMANDES &gt; Transaction Commande
2. Utiliser la recherche / les filtres de l'écran
3. Imprimer ou exporter si l'écran le propose</t>
  </si>
  <si>
    <t xml:space="preserve">1. Ouvrir GESTION DES COMMANDES &gt; Gestion des entrées
2. Utiliser la recherche / les filtres de l'écran
3. Imprimer ou exporter si l'écran le propose</t>
  </si>
  <si>
    <t xml:space="preserve">Enregistrement Commande</t>
  </si>
  <si>
    <t xml:space="preserve">1. Ouvrir GESTION DES COMMANDES &gt; Enregistrement Commande
2. Utiliser la recherche / les filtres de l'écran
3. Imprimer ou exporter si l'écran le propose</t>
  </si>
  <si>
    <t xml:space="preserve">Historique</t>
  </si>
  <si>
    <t xml:space="preserve">1. Ouvrir GESTION DES COMMANDES &gt; Historique
2. Utiliser la recherche / les filtres de l'écran
3. Imprimer ou exporter si l'écran le propose</t>
  </si>
  <si>
    <t xml:space="preserve">Liste des ruptures</t>
  </si>
  <si>
    <t xml:space="preserve">1. Ouvrir GESTION DES COMMANDES &gt; Liste des ruptures
2. Utiliser la recherche / les filtres de l'écran
3. Imprimer ou exporter si l'écran le propose</t>
  </si>
  <si>
    <t xml:space="preserve">1. Ouvrir GESTION DES COMMANDES &gt; Etat de contrôle Achats
2. Utiliser la recherche / les filtres de l'écran
3. Imprimer ou exporter si l'écran le propose</t>
  </si>
  <si>
    <t xml:space="preserve">Compte Client</t>
  </si>
  <si>
    <t xml:space="preserve">1. Ouvrir GESTION DES COMMANDES &gt; Compte Client
2. Utiliser la recherche / les filtres de l'écran
3. Imprimer ou exporter si l'écran le propose</t>
  </si>
  <si>
    <t xml:space="preserve">1. Ouvrir GESTION DES COMMANDES &gt; Pointer BL et avoirs
2. Utiliser la recherche / les filtres de l'écran
3. Imprimer ou exporter si l'écran le propose</t>
  </si>
  <si>
    <t xml:space="preserve">1. Ouvrir GESTION DES COMMANDES &gt; Retour fournisseur
2. Utiliser la recherche / les filtres de l'écran
3. Imprimer ou exporter si l'écran le propose</t>
  </si>
  <si>
    <t xml:space="preserve">Offres de prix</t>
  </si>
  <si>
    <t xml:space="preserve">1. Ouvrir GESTION DES COMMANDES &gt; Offres de prix
2. Utiliser la recherche / les filtres de l'écran
3. Imprimer ou exporter si l'écran le propose</t>
  </si>
  <si>
    <t xml:space="preserve">Liste des Lots</t>
  </si>
  <si>
    <t xml:space="preserve">1. Ouvrir GESTION DES COMMANDES &gt; Liste des Lots
2. Utiliser la recherche / les filtres de l'écran
3. Imprimer ou exporter si l'écran le propose</t>
  </si>
  <si>
    <t xml:space="preserve">Etat de control annuel</t>
  </si>
  <si>
    <t xml:space="preserve">1. Ouvrir GESTION DES COMMANDES &gt; Etat de control annuel
2. Utiliser la recherche / les filtres de l'écran
3. Imprimer ou exporter si l'écran le propose</t>
  </si>
  <si>
    <t xml:space="preserve">Unites Gratuites</t>
  </si>
  <si>
    <t xml:space="preserve">1. Ouvrir GESTION DES COMMANDES &gt; Unites Gratuites
2. Utiliser la recherche / les filtres de l'écran
3. Imprimer ou exporter si l'écran le propose</t>
  </si>
  <si>
    <t xml:space="preserve">Achats mensuels grossiste</t>
  </si>
  <si>
    <t xml:space="preserve">1. Ouvrir GESTION DES COMMANDES &gt; Achats mensuels grossiste
2. Utiliser la recherche / les filtres de l'écran
3. Imprimer ou exporter si l'écran le propose</t>
  </si>
  <si>
    <t xml:space="preserve">1. Ouvrir GESTION DU STOCK &gt; Fiche Article
2. Utiliser la recherche / les filtres de l'écran
3. Imprimer ou exporter si l'écran le propose</t>
  </si>
  <si>
    <t xml:space="preserve">Gestion des doublons</t>
  </si>
  <si>
    <t xml:space="preserve">1. Ouvrir GESTION DU STOCK &gt; Gestion des doublons
2. Utiliser la recherche / les filtres de l'écran
3. Imprimer ou exporter si l'écran le propose</t>
  </si>
  <si>
    <t xml:space="preserve">Retour dépot</t>
  </si>
  <si>
    <t xml:space="preserve">1. Ouvrir GESTION DU STOCK &gt; Retour dépot
2. Utiliser la recherche / les filtres de l'écran
3. Imprimer ou exporter si l'écran le propose</t>
  </si>
  <si>
    <t xml:space="preserve">Détails</t>
  </si>
  <si>
    <t xml:space="preserve">1. Ouvrir GESTION DU STOCK &gt; Détails
2. Utiliser la recherche / les filtres de l'écran
3. Imprimer ou exporter si l'écran le propose</t>
  </si>
  <si>
    <t xml:space="preserve">Produits</t>
  </si>
  <si>
    <t xml:space="preserve">1. Ouvrir GESTION DU STOCK &gt; Produits
2. Utiliser la recherche / les filtres de l'écran
3. Imprimer ou exporter si l'écran le propose</t>
  </si>
  <si>
    <t xml:space="preserve">Emplacement</t>
  </si>
  <si>
    <t xml:space="preserve">1. Ouvrir GESTION DU STOCK &gt; Emplacement
2. Utiliser la recherche / les filtres de l'écran
3. Imprimer ou exporter si l'écran le propose</t>
  </si>
  <si>
    <t xml:space="preserve">Produits par code géo</t>
  </si>
  <si>
    <t xml:space="preserve">1. Ouvrir GESTION DU STOCK &gt; Produits par code géo
2. Utiliser la recherche / les filtres de l'écran
3. Imprimer ou exporter si l'écran le propose</t>
  </si>
  <si>
    <t xml:space="preserve">Liste Articles Désactivés</t>
  </si>
  <si>
    <t xml:space="preserve">1. Ouvrir GESTION DU STOCK &gt; Liste Articles Désactivés
2. Utiliser la recherche / les filtres de l'écran
3. Imprimer ou exporter si l'écran le propose</t>
  </si>
  <si>
    <t xml:space="preserve">Suivi mouvement article</t>
  </si>
  <si>
    <t xml:space="preserve">1. Ouvrir GESTION DU STOCK &gt; Suivi mouvement article
2. Utiliser la recherche / les filtres de l'écran
3. Imprimer ou exporter si l'écran le propose</t>
  </si>
  <si>
    <t xml:space="preserve">Suivi mouvement article2</t>
  </si>
  <si>
    <t xml:space="preserve">1. Ouvrir GESTION DU STOCK &gt; Suivi mouvement article2
2. Utiliser la recherche / les filtres de l'écran
3. Imprimer ou exporter si l'écran le propose</t>
  </si>
  <si>
    <t xml:space="preserve">Entrées / sorties détail</t>
  </si>
  <si>
    <t xml:space="preserve">1. Ouvrir GESTION DU STOCK &gt; Entrées / sorties détail
2. Utiliser la recherche / les filtres de l'écran
3. Imprimer ou exporter si l'écran le propose</t>
  </si>
  <si>
    <t xml:space="preserve">Vente Par Produit</t>
  </si>
  <si>
    <t xml:space="preserve">1. Ouvrir GESTION DU STOCK &gt; Vente Par Produit
2. Utiliser la recherche / les filtres de l'écran
3. Imprimer ou exporter si l'écran le propose</t>
  </si>
  <si>
    <t xml:space="preserve">Evaluation des ventes</t>
  </si>
  <si>
    <t xml:space="preserve">1. Ouvrir GESTION DU STOCK &gt; Evaluation des ventes
2. Utiliser la recherche / les filtres de l'écran
3. Imprimer ou exporter si l'écran le propose</t>
  </si>
  <si>
    <t xml:space="preserve">Articles Mouvementés</t>
  </si>
  <si>
    <t xml:space="preserve">1. Ouvrir GESTION DU STOCK &gt; Articles Mouvementés
2. Utiliser la recherche / les filtres de l'écran
3. Imprimer ou exporter si l'écran le propose</t>
  </si>
  <si>
    <t xml:space="preserve">Suivi du stock et ventes</t>
  </si>
  <si>
    <t xml:space="preserve">1. Ouvrir GESTION DU STOCK &gt; Suivi du stock et ventes
2. Utiliser la recherche / les filtres de l'écran
3. Imprimer ou exporter si l'écran le propose</t>
  </si>
  <si>
    <t xml:space="preserve">Articles invendus</t>
  </si>
  <si>
    <t xml:space="preserve">1. Ouvrir GESTION DU STOCK &gt; Articles invendus
2. Utiliser la recherche / les filtres de l'écran
3. Imprimer ou exporter si l'écran le propose</t>
  </si>
  <si>
    <t xml:space="preserve">Gamme produits</t>
  </si>
  <si>
    <t xml:space="preserve">1. Ouvrir GESTION DU STOCK &gt; Gamme produits
2. Utiliser la recherche / les filtres de l'écran
3. Imprimer ou exporter si l'écran le propose</t>
  </si>
  <si>
    <t xml:space="preserve">Etat de stock</t>
  </si>
  <si>
    <t xml:space="preserve">1. Ouvrir GESTION DU STOCK &gt; Etat de stock
2. Utiliser la recherche / les filtres de l'écran
3. Imprimer ou exporter si l'écran le propose</t>
  </si>
  <si>
    <t xml:space="preserve">Laboratoire produits</t>
  </si>
  <si>
    <t xml:space="preserve">1. Ouvrir GESTION DU STOCK &gt; Laboratoire produits
2. Utiliser la recherche / les filtres de l'écran
3. Imprimer ou exporter si l'écran le propose</t>
  </si>
  <si>
    <t xml:space="preserve">1. Ouvrir GESTION DU STOCK &gt; Travaux d'Inventaire
2. Utiliser la recherche / les filtres de l'écran
3. Imprimer ou exporter si l'écran le propose</t>
  </si>
  <si>
    <t xml:space="preserve">Mise à jour produits</t>
  </si>
  <si>
    <t xml:space="preserve">1. Ouvrir GESTION DU STOCK &gt; Mise à jour produits
2. Utiliser la recherche / les filtres de l'écran
3. Imprimer ou exporter si l'écran le propose</t>
  </si>
  <si>
    <t xml:space="preserve">Annulés en inventaire</t>
  </si>
  <si>
    <t xml:space="preserve">1. Ouvrir GESTION DU STOCK &gt; Annulés en inventaire
2. Utiliser la recherche / les filtres de l'écran
3. Imprimer ou exporter si l'écran le propose</t>
  </si>
  <si>
    <t xml:space="preserve">Ventes par produit</t>
  </si>
  <si>
    <t xml:space="preserve">1. Ouvrir GESTION DU STOCK &gt; Ventes par produit
2. Utiliser la recherche / les filtres de l'écran
3. Imprimer ou exporter si l'écran le propose</t>
  </si>
  <si>
    <t xml:space="preserve">1. Ouvrir GESTION DU STOCK &gt; Ajustement du Stock
2. Utiliser la recherche / les filtres de l'écran
3. Imprimer ou exporter si l'écran le propose</t>
  </si>
  <si>
    <t xml:space="preserve">Comparaison stock article</t>
  </si>
  <si>
    <t xml:space="preserve">1. Ouvrir GESTION DU STOCK &gt; Comparaison stock article
2. Utiliser la recherche / les filtres de l'écran
3. Imprimer ou exporter si l'écran le propose</t>
  </si>
  <si>
    <t xml:space="preserve">1. Ouvrir GESTION DU STOCK &gt; Saisie des périmés
2. Utiliser la recherche / les filtres de l'écran
3. Imprimer ou exporter si l'écran le propose</t>
  </si>
  <si>
    <t xml:space="preserve">Gestion des périmés</t>
  </si>
  <si>
    <t xml:space="preserve">1. Ouvrir GESTION DU STOCK &gt; Gestion des périmés
2. Utiliser la recherche / les filtres de l'écran
3. Imprimer ou exporter si l'écran le propose</t>
  </si>
  <si>
    <t xml:space="preserve">Recherche périmés</t>
  </si>
  <si>
    <t xml:space="preserve">1. Ouvrir GESTION DU STOCK &gt; Recherche périmés
2. Utiliser la recherche / les filtres de l'écran
3. Imprimer ou exporter si l'écran le propose</t>
  </si>
  <si>
    <t xml:space="preserve">Périmés rétirés du stock</t>
  </si>
  <si>
    <t xml:space="preserve">1. Ouvrir GESTION DU STOCK &gt; Périmés rétirés du stock
2. Utiliser la recherche / les filtres de l'écran
3. Imprimer ou exporter si l'écran le propose</t>
  </si>
  <si>
    <t xml:space="preserve">Gestion étiquette</t>
  </si>
  <si>
    <t xml:space="preserve">1. Ouvrir GESTION DU STOCK &gt; Gestion étiquette
2. Utiliser la recherche / les filtres de l'écran
3. Imprimer ou exporter si l'écran le propose</t>
  </si>
  <si>
    <t xml:space="preserve">1. Ouvrir GESTION DU STOCK &gt; Étiquettage Pro
2. Utiliser la recherche / les filtres de l'écran
3. Imprimer ou exporter si l'écran le propose</t>
  </si>
  <si>
    <t xml:space="preserve">1. Ouvrir GESTION DU STOCK &gt; Valorisation du stock
2. Utiliser la recherche / les filtres de l'écran
3. Imprimer ou exporter si l'écran le propose</t>
  </si>
  <si>
    <t xml:space="preserve">1. Ouvrir GESTION DU STOCK &gt; Gestion des réserves
2. Utiliser la recherche / les filtres de l'écran
3. Imprimer ou exporter si l'écran le propose</t>
  </si>
  <si>
    <t xml:space="preserve">Optimisation quantite</t>
  </si>
  <si>
    <t xml:space="preserve">1. Ouvrir GESTION DU STOCK &gt; Optimisation quantite
2. Utiliser la recherche / les filtres de l'écran
3. Imprimer ou exporter si l'écran le propose</t>
  </si>
  <si>
    <t xml:space="preserve">Gerer Code Gestion</t>
  </si>
  <si>
    <t xml:space="preserve">1. Ouvrir GESTION DU STOCK &gt; Gerer Code Gestion
2. Utiliser la recherche / les filtres de l'écran
3. Imprimer ou exporter si l'écran le propose</t>
  </si>
  <si>
    <t xml:space="preserve">Liste Article Vendus</t>
  </si>
  <si>
    <t xml:space="preserve">1. Ouvrir GESTION DU STOCK &gt; Liste Article Vendus
2. Utiliser la recherche / les filtres de l'écran
3. Imprimer ou exporter si l'écran le propose</t>
  </si>
  <si>
    <t xml:space="preserve">Evolution Stock</t>
  </si>
  <si>
    <t xml:space="preserve">1. Ouvrir GESTION DU STOCK &gt; Evolution Stock
2. Utiliser la recherche / les filtres de l'écran
3. Imprimer ou exporter si l'écran le propose</t>
  </si>
  <si>
    <t xml:space="preserve">Suivi article complet</t>
  </si>
  <si>
    <t xml:space="preserve">1. Ouvrir GESTION DU STOCK &gt; Suivi article complet
2. Utiliser la recherche / les filtres de l'écran
3. Imprimer ou exporter si l'écran le propose</t>
  </si>
  <si>
    <t xml:space="preserve">Set valorisation</t>
  </si>
  <si>
    <t xml:space="preserve">1. Ouvrir GESTION DU STOCK &gt; Set valorisation
2. Utiliser la recherche / les filtres de l'écran
3. Imprimer ou exporter si l'écran le propose</t>
  </si>
  <si>
    <t xml:space="preserve">Gestion des devises</t>
  </si>
  <si>
    <t xml:space="preserve">1. Ouvrir PARAMETRAGES &gt; Gestion des devises
2. Utiliser la recherche / les filtres de l'écran
3. Imprimer ou exporter si l'écran le propose</t>
  </si>
  <si>
    <t xml:space="preserve">Menu personnel</t>
  </si>
  <si>
    <t xml:space="preserve">1. Ouvrir PARAMETRAGES &gt; Menu personnel
2. Utiliser la recherche / les filtres de l'écran
3. Imprimer ou exporter si l'écran le propose</t>
  </si>
  <si>
    <t xml:space="preserve">1. Ouvrir PARAMETRAGES &gt; Paramétrage général
2. Utiliser la recherche / les filtres de l'écran
3. Imprimer ou exporter si l'écran le propose</t>
  </si>
  <si>
    <t xml:space="preserve">1. Ouvrir PARAMETRAGES &gt; Identification Pharmacie
2. Utiliser la recherche / les filtres de l'écran
3. Imprimer ou exporter si l'écran le propose</t>
  </si>
  <si>
    <t xml:space="preserve">Gerer workflow remise</t>
  </si>
  <si>
    <t xml:space="preserve">1. Ouvrir PARAMETRAGES &gt; Gerer workflow remise
2. Utiliser la recherche / les filtres de l'écran
3. Imprimer ou exporter si l'écran le propose</t>
  </si>
  <si>
    <t xml:space="preserve">Gerer Ville</t>
  </si>
  <si>
    <t xml:space="preserve">1. Ouvrir PARAMETRAGES &gt; Gerer Ville
2. Utiliser la recherche / les filtres de l'écran
3. Imprimer ou exporter si l'écran le propose</t>
  </si>
  <si>
    <t xml:space="preserve">Gerer Contre Indication</t>
  </si>
  <si>
    <t xml:space="preserve">1. Ouvrir PARAMETRAGES &gt; Gerer Contre Indication
2. Utiliser la recherche / les filtres de l'écran
3. Imprimer ou exporter si l'écran le propose</t>
  </si>
  <si>
    <t xml:space="preserve">Gerer Specialite Medecin</t>
  </si>
  <si>
    <t xml:space="preserve">1. Ouvrir PARAMETRAGES &gt; Gerer Specialite Medecin
2. Utiliser la recherche / les filtres de l'écran
3. Imprimer ou exporter si l'écran le propose</t>
  </si>
  <si>
    <t xml:space="preserve">Gerer les DCI</t>
  </si>
  <si>
    <t xml:space="preserve">1. Ouvrir PARAMETRAGES &gt; Gerer les DCI
2. Utiliser la recherche / les filtres de l'écran
3. Imprimer ou exporter si l'écran le propose</t>
  </si>
  <si>
    <t xml:space="preserve">Gerer Forme Article</t>
  </si>
  <si>
    <t xml:space="preserve">1. Ouvrir PARAMETRAGES &gt; Gerer Forme Article
2. Utiliser la recherche / les filtres de l'écran
3. Imprimer ou exporter si l'écran le propose</t>
  </si>
  <si>
    <t xml:space="preserve">Gerer Tranche</t>
  </si>
  <si>
    <t xml:space="preserve">1. Ouvrir PARAMETRAGES &gt; Gerer Tranche
2. Utiliser la recherche / les filtres de l'écran
3. Imprimer ou exporter si l'écran le propose</t>
  </si>
  <si>
    <t xml:space="preserve">Gerer Ayant Droit</t>
  </si>
  <si>
    <t xml:space="preserve">1. Ouvrir PARAMETRAGES &gt; Gerer Ayant Droit
2. Utiliser la recherche / les filtres de l'écran
3. Imprimer ou exporter si l'écran le propose</t>
  </si>
  <si>
    <t xml:space="preserve">Gerer Risques</t>
  </si>
  <si>
    <t xml:space="preserve">1. Ouvrir PARAMETRAGES &gt; Gerer Risques
2. Utiliser la recherche / les filtres de l'écran
3. Imprimer ou exporter si l'écran le propose</t>
  </si>
  <si>
    <t xml:space="preserve">Gerer Famille</t>
  </si>
  <si>
    <t xml:space="preserve">1. Ouvrir PARAMETRAGES &gt; Gerer Famille
2. Utiliser la recherche / les filtres de l'écran
3. Imprimer ou exporter si l'écran le propose</t>
  </si>
  <si>
    <t xml:space="preserve">Gerer Etat Article</t>
  </si>
  <si>
    <t xml:space="preserve">1. Ouvrir PARAMETRAGES &gt; Gerer Etat Article
2. Utiliser la recherche / les filtres de l'écran
3. Imprimer ou exporter si l'écran le propose</t>
  </si>
  <si>
    <t xml:space="preserve">Gerer Type Societe</t>
  </si>
  <si>
    <t xml:space="preserve">1. Ouvrir PARAMETRAGES &gt; Gerer Type Societe
2. Utiliser la recherche / les filtres de l'écran
3. Imprimer ou exporter si l'écran le propose</t>
  </si>
  <si>
    <t xml:space="preserve">Mode de règlements</t>
  </si>
  <si>
    <t xml:space="preserve">1. Ouvrir PARAMETRAGES &gt; Mode de règlements
2. Utiliser la recherche / les filtres de l'écran
3. Imprimer ou exporter si l'écran le propose</t>
  </si>
  <si>
    <t xml:space="preserve">Gerer Fiche Societe</t>
  </si>
  <si>
    <t xml:space="preserve">1. Ouvrir PARAMETRAGES &gt; Gerer Fiche Societe
2. Utiliser la recherche / les filtres de l'écran
3. Imprimer ou exporter si l'écran le propose</t>
  </si>
  <si>
    <t xml:space="preserve">Gerer Type Remise</t>
  </si>
  <si>
    <t xml:space="preserve">1. Ouvrir PARAMETRAGES &gt; Gerer Type Remise
2. Utiliser la recherche / les filtres de l'écran
3. Imprimer ou exporter si l'écran le propose</t>
  </si>
  <si>
    <t xml:space="preserve">Groupe famille</t>
  </si>
  <si>
    <t xml:space="preserve">1. Ouvrir PARAMETRAGES &gt; Groupe famille
2. Utiliser la recherche / les filtres de l'écran
3. Imprimer ou exporter si l'écran le propose</t>
  </si>
  <si>
    <t xml:space="preserve">Catégories ayants droit</t>
  </si>
  <si>
    <t xml:space="preserve">1. Ouvrir PARAMETRAGES &gt; Catégories ayants droit
2. Utiliser la recherche / les filtres de l'écran
3. Imprimer ou exporter si l'écran le propose</t>
  </si>
  <si>
    <t xml:space="preserve">Gerer Motif Retour</t>
  </si>
  <si>
    <t xml:space="preserve">1. Ouvrir PARAMETRAGES &gt; Gerer Motif Retour
2. Utiliser la recherche / les filtres de l'écran
3. Imprimer ou exporter si l'écran le propose</t>
  </si>
  <si>
    <t xml:space="preserve">Gerer Type Risque</t>
  </si>
  <si>
    <t xml:space="preserve">1. Ouvrir PARAMETRAGES &gt; Gerer Type Risque
2. Utiliser la recherche / les filtres de l'écran
3. Imprimer ou exporter si l'écran le propose</t>
  </si>
  <si>
    <t xml:space="preserve">Gerer medecin</t>
  </si>
  <si>
    <t xml:space="preserve">1. Ouvrir PARAMETRAGES &gt; Gerer medecin
2. Utiliser la recherche / les filtres de l'écran
3. Imprimer ou exporter si l'écran le propose</t>
  </si>
  <si>
    <t xml:space="preserve">Gerer Centre Payeur</t>
  </si>
  <si>
    <t xml:space="preserve">1. Ouvrir PARAMETRAGES &gt; Gerer Centre Payeur
2. Utiliser la recherche / les filtres de l'écran
3. Imprimer ou exporter si l'écran le propose</t>
  </si>
  <si>
    <t xml:space="preserve">Gerer Escompte Societe</t>
  </si>
  <si>
    <t xml:space="preserve">1. Ouvrir PARAMETRAGES &gt; Gerer Escompte Societe
2. Utiliser la recherche / les filtres de l'écran
3. Imprimer ou exporter si l'écran le propose</t>
  </si>
  <si>
    <t xml:space="preserve">Groupe grossistes</t>
  </si>
  <si>
    <t xml:space="preserve">1. Ouvrir PARAMETRAGES &gt; Groupe grossistes
2. Utiliser la recherche / les filtres de l'écran
3. Imprimer ou exporter si l'écran le propose</t>
  </si>
  <si>
    <t xml:space="preserve">Motifs règlément</t>
  </si>
  <si>
    <t xml:space="preserve">1. Ouvrir PARAMETRAGES &gt; Motifs règlément
2. Utiliser la recherche / les filtres de l'écran
3. Imprimer ou exporter si l'écran le propose</t>
  </si>
  <si>
    <t xml:space="preserve">Gerer Grossistes</t>
  </si>
  <si>
    <t xml:space="preserve">1. Ouvrir PARAMETRAGES &gt; Gerer Grossistes
2. Utiliser la recherche / les filtres de l'écran
3. Imprimer ou exporter si l'écran le propose</t>
  </si>
  <si>
    <t xml:space="preserve">Gerer Fabricant</t>
  </si>
  <si>
    <t xml:space="preserve">1. Ouvrir PARAMETRAGES &gt; Gerer Fabricant
2. Utiliser la recherche / les filtres de l'écran
3. Imprimer ou exporter si l'écran le propose</t>
  </si>
  <si>
    <t xml:space="preserve">1. Ouvrir PARAMETRAGES &gt; Fournisseurs SMS
2. Utiliser la recherche / les filtres de l'écran
3. Imprimer ou exporter si l'écran le propose</t>
  </si>
  <si>
    <t xml:space="preserve">RETROCESSION</t>
  </si>
  <si>
    <t xml:space="preserve">Retrocession</t>
  </si>
  <si>
    <t xml:space="preserve">1. Ouvrir RETROCESSION &gt; Retrocession
2. Utiliser la recherche / les filtres de l'écran
3. Imprimer ou exporter si l'écran le propose</t>
  </si>
  <si>
    <t xml:space="preserve">Gestion des confrères</t>
  </si>
  <si>
    <t xml:space="preserve">1. Ouvrir RETROCESSION &gt; Gestion des confrères
2. Utiliser la recherche / les filtres de l'écran
3. Imprimer ou exporter si l'écran le propose</t>
  </si>
  <si>
    <t xml:space="preserve">Chiffre d'Affaires 20/80</t>
  </si>
  <si>
    <t xml:space="preserve">1. Ouvrir ANALYSE DE GESTION &gt; Chiffre d'Affaires 20/80
2. Utiliser la recherche / les filtres de l'écran
3. Imprimer ou exporter si l'écran le propose</t>
  </si>
  <si>
    <t xml:space="preserve">1. Ouvrir ANALYSE DE GESTION &gt; Pilotage de l'officine
2. Utiliser la recherche / les filtres de l'écran
3. Imprimer ou exporter si l'écran le propose</t>
  </si>
  <si>
    <t xml:space="preserve">Rapport activité</t>
  </si>
  <si>
    <t xml:space="preserve">1. Ouvrir ANALYSE DE GESTION &gt; Rapport activité
2. Utiliser la recherche / les filtres de l'écran
3. Imprimer ou exporter si l'écran le propose</t>
  </si>
  <si>
    <t xml:space="preserve">Compte d'exploitation</t>
  </si>
  <si>
    <t xml:space="preserve">1. Ouvrir ANALYSE DE GESTION &gt; Compte d'exploitation
2. Utiliser la recherche / les filtres de l'écran
3. Imprimer ou exporter si l'écran le propose</t>
  </si>
  <si>
    <t xml:space="preserve">Analyse tiers payants</t>
  </si>
  <si>
    <t xml:space="preserve">1. Ouvrir ANALYSE DE GESTION &gt; Analyse tiers payants
2. Utiliser la recherche / les filtres de l'écran
3. Imprimer ou exporter si l'écran le propose</t>
  </si>
  <si>
    <t xml:space="preserve">1. Ouvrir ANALYSE DE GESTION &gt; Statistique famille
2. Utiliser la recherche / les filtres de l'écran
3. Imprimer ou exporter si l'écran le propose</t>
  </si>
  <si>
    <t xml:space="preserve">Fréquentation officine</t>
  </si>
  <si>
    <t xml:space="preserve">1. Ouvrir ANALYSE DE GESTION &gt; Fréquentation officine
2. Utiliser la recherche / les filtres de l'écran
3. Imprimer ou exporter si l'écran le propose</t>
  </si>
  <si>
    <t xml:space="preserve">Facture Reglee</t>
  </si>
  <si>
    <t xml:space="preserve">1. Ouvrir ANALYSE DE GESTION &gt; Facture Reglee
2. Utiliser la recherche / les filtres de l'écran
3. Imprimer ou exporter si l'écran le propose</t>
  </si>
  <si>
    <t xml:space="preserve">Activité opérateurs</t>
  </si>
  <si>
    <t xml:space="preserve">1. Ouvrir ANALYSE DE GESTION &gt; Activité opérateurs
2. Utiliser la recherche / les filtres de l'écran
3. Imprimer ou exporter si l'écran le propose</t>
  </si>
  <si>
    <t xml:space="preserve">Activité des équipes</t>
  </si>
  <si>
    <t xml:space="preserve">1. Ouvrir ANALYSE DE GESTION &gt; Activité des équipes
2. Utiliser la recherche / les filtres de l'écran
3. Imprimer ou exporter si l'écran le propose</t>
  </si>
  <si>
    <t xml:space="preserve">Comparaison CA familles</t>
  </si>
  <si>
    <t xml:space="preserve">1. Ouvrir ANALYSE DE GESTION &gt; Comparaison CA familles
2. Utiliser la recherche / les filtres de l'écran
3. Imprimer ou exporter si l'écran le propose</t>
  </si>
  <si>
    <t xml:space="preserve">Statistiques des ventes</t>
  </si>
  <si>
    <t xml:space="preserve">1. Ouvrir ANALYSE DE GESTION &gt; Statistiques des ventes
2. Utiliser la recherche / les filtres de l'écran
3. Imprimer ou exporter si l'écran le propose</t>
  </si>
  <si>
    <t xml:space="preserve">Ruptures de stock</t>
  </si>
  <si>
    <t xml:space="preserve">1. Ouvrir ANALYSE DE GESTION &gt; Ruptures de stock
2. Utiliser la recherche / les filtres de l'écran
3. Imprimer ou exporter si l'écran le propose</t>
  </si>
  <si>
    <t xml:space="preserve">Journal</t>
  </si>
  <si>
    <t xml:space="preserve">1. Ouvrir ANALYSE DE GESTION &gt; Journal
2. Utiliser la recherche / les filtres de l'écran
3. Imprimer ou exporter si l'écran le propose</t>
  </si>
  <si>
    <t xml:space="preserve">Unités vendues</t>
  </si>
  <si>
    <t xml:space="preserve">1. Ouvrir ANALYSE DE GESTION &gt; Unités vendues
2. Utiliser la recherche / les filtres de l'écran
3. Imprimer ou exporter si l'écran le propose</t>
  </si>
  <si>
    <t xml:space="preserve">Stats famille article</t>
  </si>
  <si>
    <t xml:space="preserve">1. Ouvrir ANALYSE DE GESTION &gt; Stats famille article
2. Utiliser la recherche / les filtres de l'écran
3. Imprimer ou exporter si l'écran le propose</t>
  </si>
  <si>
    <t xml:space="preserve">Tableau de bord</t>
  </si>
  <si>
    <t xml:space="preserve">1. Ouvrir ANALYSE DE GESTION &gt; Tableau de bord
2. Utiliser la recherche / les filtres de l'écran
3. Imprimer ou exporter si l'écran le propose</t>
  </si>
  <si>
    <t xml:space="preserve">Tableau pharmacien</t>
  </si>
  <si>
    <t xml:space="preserve">1. Ouvrir ANALYSE DE GESTION &gt; Tableau pharmacien
2. Utiliser la recherche / les filtres de l'écran
3. Imprimer ou exporter si l'écran le propose</t>
  </si>
  <si>
    <t xml:space="preserve">Tableau de bord carnet</t>
  </si>
  <si>
    <t xml:space="preserve">1. Ouvrir ANALYSE DE GESTION &gt; Tableau de bord carnet
2. Utiliser la recherche / les filtres de l'écran
3. Imprimer ou exporter si l'écran le propose</t>
  </si>
  <si>
    <t xml:space="preserve">Stock Par Produit</t>
  </si>
  <si>
    <t xml:space="preserve">1. Ouvrir ANALYSE DE GESTION &gt; Stock Par Produit
2. Utiliser la recherche / les filtres de l'écran
3. Imprimer ou exporter si l'écran le propose</t>
  </si>
  <si>
    <t xml:space="preserve">Marge sur produits</t>
  </si>
  <si>
    <t xml:space="preserve">1. Ouvrir ANALYSE DE GESTION &gt; Marge sur produits
2. Utiliser la recherche / les filtres de l'écran
3. Imprimer ou exporter si l'écran le propose</t>
  </si>
  <si>
    <t xml:space="preserve">Journal Recette</t>
  </si>
  <si>
    <t xml:space="preserve">1. Ouvrir ANALYSE DE GESTION &gt; Journal Recette
2. Utiliser la recherche / les filtres de l'écran
3. Imprimer ou exporter si l'écran le propose</t>
  </si>
  <si>
    <t xml:space="preserve">Stats produits / labo</t>
  </si>
  <si>
    <t xml:space="preserve">1. Ouvrir ANALYSE DE GESTION &gt; Stats produits / labo
2. Utiliser la recherche / les filtres de l'écran
3. Imprimer ou exporter si l'écran le propose</t>
  </si>
  <si>
    <t xml:space="preserve">CA par grossiste</t>
  </si>
  <si>
    <t xml:space="preserve">1. Ouvrir ANALYSE DE GESTION &gt; CA par grossiste
2. Utiliser la recherche / les filtres de l'écran
3. Imprimer ou exporter si l'écran le propose</t>
  </si>
  <si>
    <t xml:space="preserve">CA par emplacement</t>
  </si>
  <si>
    <t xml:space="preserve">1. Ouvrir ANALYSE DE GESTION &gt; CA par emplacement
2. Utiliser la recherche / les filtres de l'écran
3. Imprimer ou exporter si l'écran le propose</t>
  </si>
  <si>
    <t xml:space="preserve">CA emplacement / famille</t>
  </si>
  <si>
    <t xml:space="preserve">1. Ouvrir ANALYSE DE GESTION &gt; CA emplacement / famille
2. Utiliser la recherche / les filtres de l'écran
3. Imprimer ou exporter si l'écran le propose</t>
  </si>
  <si>
    <t xml:space="preserve">Stats produits / gamme</t>
  </si>
  <si>
    <t xml:space="preserve">1. Ouvrir ANALYSE DE GESTION &gt; Stats produits / gamme
2. Utiliser la recherche / les filtres de l'écran
3. Imprimer ou exporter si l'écran le propose</t>
  </si>
  <si>
    <t xml:space="preserve">Suivi remise</t>
  </si>
  <si>
    <t xml:space="preserve">1. Ouvrir ANALYSE DE GESTION &gt; Suivi remise
2. Utiliser la recherche / les filtres de l'écran
3. Imprimer ou exporter si l'écran le propose</t>
  </si>
  <si>
    <t xml:space="preserve">Achats annuels</t>
  </si>
  <si>
    <t xml:space="preserve">1. Ouvrir ANALYSE DE GESTION &gt; Achats annuels
2. Utiliser la recherche / les filtres de l'écran
3. Imprimer ou exporter si l'écran le propose</t>
  </si>
  <si>
    <t xml:space="preserve">STATISTIQUE ANNUEL CA</t>
  </si>
  <si>
    <t xml:space="preserve">1. Ouvrir ANALYSE DE GESTION &gt; STATISTIQUE ANNUEL CA
2. Utiliser la recherche / les filtres de l'écran
3. Imprimer ou exporter si l'écran le propose</t>
  </si>
  <si>
    <t xml:space="preserve">Statistique des achats</t>
  </si>
  <si>
    <t xml:space="preserve">1. Ouvrir ANALYSE DE GESTION &gt; Statistique des achats
2. Utiliser la recherche / les filtres de l'écran
3. Imprimer ou exporter si l'écran le propose</t>
  </si>
  <si>
    <t xml:space="preserve">Récapitulatif activité</t>
  </si>
  <si>
    <t xml:space="preserve">1. Ouvrir ANALYSE DE GESTION &gt; Récapitulatif activité
2. Utiliser la recherche / les filtres de l'écran
3. Imprimer ou exporter si l'écran le propose</t>
  </si>
  <si>
    <t xml:space="preserve">Statistique sur TVA</t>
  </si>
  <si>
    <t xml:space="preserve">1. Ouvrir ANALYSE DE GESTION &gt; Statistique sur TVA
2. Utiliser la recherche / les filtres de l'écran
3. Imprimer ou exporter si l'écran le propose</t>
  </si>
  <si>
    <t xml:space="preserve">Ventes mensuelles client</t>
  </si>
  <si>
    <t xml:space="preserve">1. Ouvrir ANALYSE DE GESTION &gt; Ventes mensuelles client
2. Utiliser la recherche / les filtres de l'écran
3. Imprimer ou exporter si l'écran le propose</t>
  </si>
  <si>
    <t xml:space="preserve">Vente / stock famille</t>
  </si>
  <si>
    <t xml:space="preserve">1. Ouvrir ANALYSE DE GESTION &gt; Vente / stock famille
2. Utiliser la recherche / les filtres de l'écran
3. Imprimer ou exporter si l'écran le propose</t>
  </si>
  <si>
    <t xml:space="preserve">Achats Mensuels Produits</t>
  </si>
  <si>
    <t xml:space="preserve">1. Ouvrir ANALYSE DE GESTION &gt; Achats Mensuels Produits
2. Utiliser la recherche / les filtres de l'écran
3. Imprimer ou exporter si l'écran le propose</t>
  </si>
  <si>
    <t xml:space="preserve">Achats fournisseurs</t>
  </si>
  <si>
    <t xml:space="preserve">1. Ouvrir ANALYSE DE GESTION &gt; Achats fournisseurs
2. Utiliser la recherche / les filtres de l'écran
3. Imprimer ou exporter si l'écran le propose</t>
  </si>
  <si>
    <t xml:space="preserve">Ventes mensuelles société</t>
  </si>
  <si>
    <t xml:space="preserve">1. Ouvrir ANALYSE DE GESTION &gt; Ventes mensuelles société
2. Utiliser la recherche / les filtres de l'écran
3. Imprimer ou exporter si l'écran le propose</t>
  </si>
  <si>
    <t xml:space="preserve">Rétrocessions</t>
  </si>
  <si>
    <t xml:space="preserve">1. Ouvrir ANALYSE DE GESTION &gt; Rétrocessions
2. Utiliser la recherche / les filtres de l'écran
3. Imprimer ou exporter si l'écran le propose</t>
  </si>
  <si>
    <t xml:space="preserve">Analyse article</t>
  </si>
  <si>
    <t xml:space="preserve">1. Ouvrir ANALYSE DE GESTION &gt; Analyse article
2. Utiliser la recherche / les filtres de l'écran
3. Imprimer ou exporter si l'écran le propose</t>
  </si>
  <si>
    <t xml:space="preserve">1. Ouvrir ANALYSE DE GESTION &gt; Classification ABC
2. Utiliser la recherche / les filtres de l'écran
3. Imprimer ou exporter si l'écran le propose</t>
  </si>
  <si>
    <t xml:space="preserve">1. Ouvrir ANALYSE DE GESTION &gt; Gestion des gardes
2. Utiliser la recherche / les filtres de l'écran
3. Imprimer ou exporter si l'écran le propose</t>
  </si>
  <si>
    <t xml:space="preserve">Feuille de match</t>
  </si>
  <si>
    <t xml:space="preserve">1. Ouvrir ANALYSE DE GESTION &gt; Feuille de match
2. Utiliser la recherche / les filtres de l'écran
3. Imprimer ou exporter si l'écran le propose</t>
  </si>
  <si>
    <t xml:space="preserve">1. Ouvrir NOTIFICATIONS &gt; Gestion des Sms
2. Utiliser la recherche / les filtres de l'écran
3. Imprimer ou exporter si l'écran le propose</t>
  </si>
  <si>
    <t xml:space="preserve">Model Notification</t>
  </si>
  <si>
    <t xml:space="preserve">1. Ouvrir NOTIFICATIONS &gt; Model Notification
2. Utiliser la recherche / les filtres de l'écran
3. Imprimer ou exporter si l'écran le propose</t>
  </si>
  <si>
    <t xml:space="preserve">Catégorie notification</t>
  </si>
  <si>
    <t xml:space="preserve">1. Ouvrir NOTIFICATIONS &gt; Catégorie notification
2. Utiliser la recherche / les filtres de l'écran
3. Imprimer ou exporter si l'écran le propose</t>
  </si>
  <si>
    <t xml:space="preserve">Envoi de SMS RECAP</t>
  </si>
  <si>
    <t xml:space="preserve">1. Ouvrir NOTIFICATIONS &gt; Envoi de SMS RECAP
2. Utiliser la recherche / les filtres de l'écran
3. Imprimer ou exporter si l'écran le propose</t>
  </si>
  <si>
    <t xml:space="preserve">Menu notifications</t>
  </si>
  <si>
    <t xml:space="preserve">1. Ouvrir NOTIFICATIONS &gt; Menu notifications
2. Utiliser la recherche / les filtres de l'écran
3. Imprimer ou exporter si l'écran le propose</t>
  </si>
  <si>
    <t xml:space="preserve">GESTION DES UTILISATEURS</t>
  </si>
  <si>
    <t xml:space="preserve">Mon compte</t>
  </si>
  <si>
    <t xml:space="preserve">1. Ouvrir GESTION DES UTILISATEURS &gt; Mon compte
2. Utiliser la recherche / les filtres de l'écran
3. Imprimer ou exporter si l'écran le propose</t>
  </si>
  <si>
    <t xml:space="preserve">Utilisateurs</t>
  </si>
  <si>
    <t xml:space="preserve">1. Ouvrir GESTION DES UTILISATEURS &gt; Utilisateurs
2. Utiliser la recherche / les filtres de l'écran
3. Imprimer ou exporter si l'écran le propose</t>
  </si>
  <si>
    <t xml:space="preserve">Privileges</t>
  </si>
  <si>
    <t xml:space="preserve">1. Ouvrir GESTION DES UTILISATEURS &gt; Privileges
2. Utiliser la recherche / les filtres de l'écran
3. Imprimer ou exporter si l'écran le propose</t>
  </si>
  <si>
    <t xml:space="preserve">Gestion de profils</t>
  </si>
  <si>
    <t xml:space="preserve">1. Ouvrir GESTION DES UTILISATEURS &gt; Gestion de profils
2. Utiliser la recherche / les filtres de l'écran
3. Imprimer ou exporter si l'écran le propose</t>
  </si>
  <si>
    <t xml:space="preserve">Langues</t>
  </si>
  <si>
    <t xml:space="preserve">1. Ouvrir GESTION DES UTILISATEURS &gt; Langues
2. Utiliser la recherche / les filtres de l'écran
3. Imprimer ou exporter si l'écran le propose</t>
  </si>
  <si>
    <t xml:space="preserve">Deconnexion</t>
  </si>
  <si>
    <t xml:space="preserve">1. Ouvrir GESTION DES UTILISATEURS &gt; Deconnexion
2. Utiliser la recherche / les filtres de l'écran
3. Imprimer ou exporter si l'écran le propose</t>
  </si>
  <si>
    <t xml:space="preserve">CONFIGURATION</t>
  </si>
  <si>
    <t xml:space="preserve">Table</t>
  </si>
  <si>
    <t xml:space="preserve">1. Ouvrir CONFIGURATION &gt; Table
2. Utiliser la recherche / les filtres de l'écran
3. Imprimer ou exporter si l'écran le propose</t>
  </si>
  <si>
    <t xml:space="preserve">Module</t>
  </si>
  <si>
    <t xml:space="preserve">1. Ouvrir CONFIGURATION &gt; Module
2. Utiliser la recherche / les filtres de l'écran
3. Imprimer ou exporter si l'écran le propose</t>
  </si>
  <si>
    <t xml:space="preserve">Menu</t>
  </si>
  <si>
    <t xml:space="preserve">1. Ouvrir CONFIGURATION &gt; Menu
2. Utiliser la recherche / les filtres de l'écran
3. Imprimer ou exporter si l'écran le propose</t>
  </si>
  <si>
    <t xml:space="preserve">Produit</t>
  </si>
  <si>
    <t xml:space="preserve">1. Ouvrir CONFIGURATION &gt; Produit
2. Utiliser la recherche / les filtres de l'écran
3. Imprimer ou exporter si l'écran le propose</t>
  </si>
  <si>
    <t xml:space="preserve">Sous-menu</t>
  </si>
  <si>
    <t xml:space="preserve">1. Ouvrir CONFIGURATION &gt; Sous-menu
2. Utiliser la recherche / les filtres de l'écran
3. Imprimer ou exporter si l'écran le propose</t>
  </si>
  <si>
    <t xml:space="preserve">Tva</t>
  </si>
  <si>
    <t xml:space="preserve">1. Ouvrir CONFIGURATION &gt; Tva
2. Utiliser la recherche / les filtres de l'écran
3. Imprimer ou exporter si l'écran le propose</t>
  </si>
  <si>
    <t xml:space="preserve">Type Depense</t>
  </si>
  <si>
    <t xml:space="preserve">1. Ouvrir CONFIGURATION &gt; Type Depense
2. Utiliser la recherche / les filtres de l'écran
3. Imprimer ou exporter si l'écran le propose</t>
  </si>
  <si>
    <t xml:space="preserve">Type Recette</t>
  </si>
  <si>
    <t xml:space="preserve">1. Ouvrir CONFIGURATION &gt; Type Recette
2. Utiliser la recherche / les filtres de l'écran
3. Imprimer ou exporter si l'écran le propose</t>
  </si>
  <si>
    <t xml:space="preserve">Type Contenance</t>
  </si>
  <si>
    <t xml:space="preserve">1. Ouvrir CONFIGURATION &gt; Type Contenance
2. Utiliser la recherche / les filtres de l'écran
3. Imprimer ou exporter si l'écran le propose</t>
  </si>
  <si>
    <t xml:space="preserve">Produit Par Contenance</t>
  </si>
  <si>
    <t xml:space="preserve">1. Ouvrir CONFIGURATION &gt; Produit Par Contenance
2. Utiliser la recherche / les filtres de l'écran
3. Imprimer ou exporter si l'écran le propose</t>
  </si>
  <si>
    <t xml:space="preserve">1. Ouvrir Campagnes SMS / WhatsApp &gt; Campagnes
2. Utiliser la recherche / les filtres de l'écran
3. Imprimer ou exporter si l'écran le propose</t>
  </si>
  <si>
    <t xml:space="preserve">Comptes WhatsApp</t>
  </si>
  <si>
    <t xml:space="preserve">1. Ouvrir Campagnes SMS / WhatsApp &gt; Comptes WhatsApp
2. Utiliser la recherche / les filtres de l'écran
3. Imprimer ou exporter si l'écran le propose</t>
  </si>
  <si>
    <t xml:space="preserve">1. Ouvrir RESSOURCES HUMAINES &gt; Ressources humaines
2. Utiliser la recherche / les filtres de l'écran
3. Imprimer ou exporter si l'écran le propose</t>
  </si>
  <si>
    <t xml:space="preserve">Avis clients</t>
  </si>
  <si>
    <t xml:space="preserve">1. Ouvrir Avis clients &gt; Avis clients
2. Utiliser la recherche / les filtres de l'écran
3. Imprimer ou exporter si l'écran le propose</t>
  </si>
  <si>
    <t xml:space="preserve">GESTION CLIENT</t>
  </si>
  <si>
    <t xml:space="preserve">Sms</t>
  </si>
  <si>
    <t xml:space="preserve">1. Ouvrir GESTION CLIENT &gt; Sms
2. Utiliser la recherche / les filtres de l'écran
3. Imprimer ou exporter si l'écran le propose</t>
  </si>
  <si>
    <t xml:space="preserve">Email</t>
  </si>
  <si>
    <t xml:space="preserve">1. Ouvrir GESTION CLIENT &gt; Email
2. Utiliser la recherche / les filtres de l'écran
3. Imprimer ou exporter si l'écran le propose</t>
  </si>
  <si>
    <t xml:space="preserve">1. Ouvrir CENTRE DE SUPPORT &gt; Me contacter
2. Utiliser la recherche / les filtres de l'écran
3. Imprimer ou exporter si l'écran le propose</t>
  </si>
  <si>
    <t xml:space="preserve">Tickets support</t>
  </si>
  <si>
    <t xml:space="preserve">1. Ouvrir CENTRE DE SUPPORT &gt; Tickets support
2. Utiliser la recherche / les filtres de l'écran
3. Imprimer ou exporter si l'écran le propose</t>
  </si>
  <si>
    <t xml:space="preserve">1. Ouvrir CENTRE DE SUPPORT &gt; Diagnostic &amp; bugs
2. Utiliser la recherche / les filtres de l'écran
3. Imprimer ou exporter si l'écran le propose</t>
  </si>
  <si>
    <t xml:space="preserve">Stabilité du serveur</t>
  </si>
  <si>
    <t xml:space="preserve">1. Ouvrir CENTRE DE SUPPORT &gt; Stabilité du serveur
2. Utiliser la recherche / les filtres de l'écran
3. Imprimer ou exporter si l'écran le propose</t>
  </si>
  <si>
    <t xml:space="preserve">1. Ouvrir CENTRE DE SUPPORT &gt; Santé application
2. Utiliser la recherche / les filtres de l'écran
3. Imprimer ou exporter si l'écran le propose</t>
  </si>
  <si>
    <t xml:space="preserve">1. Ouvrir CENTRE DE SUPPORT &gt; Historique
2. Utiliser la recherche / les filtres de l'écran
3. Imprimer ou exporter si l'écran le propose</t>
  </si>
  <si>
    <t xml:space="preserve">Maintenance</t>
  </si>
  <si>
    <t xml:space="preserve">1. Ouvrir CENTRE DE SUPPORT &gt; Maintenance
2. Utiliser la recherche / les filtres de l'écran
3. Imprimer ou exporter si l'écran le propose</t>
  </si>
  <si>
    <t xml:space="preserve">Audit &amp; rapprochements</t>
  </si>
  <si>
    <t xml:space="preserve">1. Ouvrir CENTRE DE SUPPORT &gt; Audit &amp; rapprochements
2. Utiliser la recherche / les filtres de l'écran
3. Imprimer ou exporter si l'écran le propose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</si>
</sst>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.0%"/>
    <numFmt numFmtId="167" formatCode="dd/mm/yyyy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2"/>
      <color rgb="FF1F4E78"/>
      <name val="Arial"/>
      <family val="0"/>
      <charset val="1"/>
    </font>
    <font>
      <sz val="11"/>
      <name val="Arial"/>
      <family val="0"/>
      <charset val="1"/>
    </font>
    <font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EB9C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">
    <dxf>
      <fill>
        <patternFill patternType="solid">
          <fgColor rgb="FF1F4E78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8000"/>
      <rgbColor rgb="FF800080"/>
      <rgbColor rgb="FF008080"/>
      <rgbColor rgb="FFB4C6E7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35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2" topLeftCell="F13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2"/>
    <col collapsed="false" customWidth="true" hidden="false" outlineLevel="0" max="3" min="3" style="0" width="26"/>
    <col collapsed="false" customWidth="true" hidden="false" outlineLevel="0" max="4" min="4" style="0" width="14"/>
    <col collapsed="false" customWidth="true" hidden="false" outlineLevel="0" max="5" min="5" style="0" width="38"/>
    <col collapsed="false" customWidth="true" hidden="false" outlineLevel="0" max="6" min="6" style="0" width="28"/>
    <col collapsed="false" customWidth="true" hidden="false" outlineLevel="0" max="8" min="7" style="0" width="48"/>
    <col collapsed="false" customWidth="true" hidden="false" outlineLevel="0" max="9" min="9" style="0" width="10"/>
    <col collapsed="false" customWidth="true" hidden="false" outlineLevel="0" max="10" min="10" style="0" width="14"/>
    <col collapsed="false" customWidth="true" hidden="false" outlineLevel="0" max="11" min="11" style="0" width="12"/>
    <col collapsed="false" customWidth="true" hidden="false" outlineLevel="0" max="12" min="12" style="0" width="13"/>
    <col collapsed="false" customWidth="true" hidden="false" outlineLevel="0" max="13" min="13" style="0" width="40"/>
    <col collapsed="false" customWidth="true" hidden="false" outlineLevel="0" max="14" min="14" style="0" width="11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C2" s="3"/>
      <c r="E2" s="2" t="s">
        <v>2</v>
      </c>
      <c r="G2" s="3"/>
    </row>
    <row r="4" customFormat="false" ht="15" hidden="false" customHeight="false" outlineLevel="0" collapsed="false">
      <c r="A4" s="4" t="s">
        <v>3</v>
      </c>
      <c r="I4" s="4" t="s">
        <v>4</v>
      </c>
    </row>
    <row r="5" customFormat="false" ht="15" hidden="false" customHeight="false" outlineLevel="0" collapsed="false">
      <c r="A5" s="5" t="s">
        <v>5</v>
      </c>
      <c r="C5" s="6" t="n">
        <f aca="false">COUNTA($A$13:$A$350)</f>
        <v>338</v>
      </c>
      <c r="D5" s="6"/>
      <c r="E5" s="5" t="s">
        <v>6</v>
      </c>
      <c r="G5" s="7" t="n">
        <f aca="false">IF(($C$5-$C$10)=0,0,($C$7+$C$8+$C$9)/($C$5-$C$10))</f>
        <v>0</v>
      </c>
      <c r="I5" s="8" t="s">
        <v>7</v>
      </c>
    </row>
    <row r="6" customFormat="false" ht="15" hidden="false" customHeight="false" outlineLevel="0" collapsed="false">
      <c r="A6" s="5" t="s">
        <v>8</v>
      </c>
      <c r="C6" s="6" t="n">
        <f aca="false">C5-COUNTIF($L$13:$L$350,"OK")-COUNTIF($L$13:$L$350,"KO")-COUNTIF($L$13:$L$350,"Bloqué")-COUNTIF($L$13:$L$350,"N/A")</f>
        <v>338</v>
      </c>
      <c r="D6" s="7" t="n">
        <f aca="false">IF($C$5=0,0,C6/$C$5)</f>
        <v>1</v>
      </c>
      <c r="E6" s="5" t="s">
        <v>9</v>
      </c>
      <c r="G6" s="7" t="n">
        <f aca="false">IF(($C$7+$C$8+$C$9)=0,0,$C$7/($C$7+$C$8+$C$9))</f>
        <v>0</v>
      </c>
      <c r="I6" s="8" t="s">
        <v>10</v>
      </c>
    </row>
    <row r="7" customFormat="false" ht="15" hidden="false" customHeight="false" outlineLevel="0" collapsed="false">
      <c r="A7" s="5" t="s">
        <v>11</v>
      </c>
      <c r="C7" s="6" t="n">
        <f aca="false">COUNTIF($L$13:$L$350,"OK")</f>
        <v>0</v>
      </c>
      <c r="D7" s="7" t="n">
        <f aca="false">IF($C$5=0,0,C7/$C$5)</f>
        <v>0</v>
      </c>
      <c r="E7" s="5" t="s">
        <v>12</v>
      </c>
      <c r="G7" s="6" t="n">
        <f aca="false">COUNTIFS($L$13:$L$350,"KO",$I$13:$I$350,"Haute")</f>
        <v>0</v>
      </c>
      <c r="I7" s="8" t="s">
        <v>13</v>
      </c>
    </row>
    <row r="8" customFormat="false" ht="15" hidden="false" customHeight="false" outlineLevel="0" collapsed="false">
      <c r="A8" s="5" t="s">
        <v>14</v>
      </c>
      <c r="C8" s="6" t="n">
        <f aca="false">COUNTIF($L$13:$L$350,"KO")</f>
        <v>0</v>
      </c>
      <c r="D8" s="7" t="n">
        <f aca="false">IF($C$5=0,0,C8/$C$5)</f>
        <v>0</v>
      </c>
      <c r="I8" s="8" t="s">
        <v>15</v>
      </c>
    </row>
    <row r="9" customFormat="false" ht="15" hidden="false" customHeight="false" outlineLevel="0" collapsed="false">
      <c r="A9" s="5" t="s">
        <v>16</v>
      </c>
      <c r="C9" s="6" t="n">
        <f aca="false">COUNTIF($L$13:$L$350,"Bloqué")</f>
        <v>0</v>
      </c>
      <c r="D9" s="7" t="n">
        <f aca="false">IF($C$5=0,0,C9/$C$5)</f>
        <v>0</v>
      </c>
      <c r="I9" s="8" t="s">
        <v>17</v>
      </c>
    </row>
    <row r="10" customFormat="false" ht="15" hidden="false" customHeight="false" outlineLevel="0" collapsed="false">
      <c r="A10" s="5" t="s">
        <v>18</v>
      </c>
      <c r="C10" s="6" t="n">
        <f aca="false">COUNTIF($L$13:$L$350,"N/A")</f>
        <v>0</v>
      </c>
      <c r="D10" s="7" t="n">
        <f aca="false">IF($C$5=0,0,C10/$C$5)</f>
        <v>0</v>
      </c>
    </row>
    <row r="12" customFormat="false" ht="30" hidden="false" customHeight="true" outlineLevel="0" collapsed="false">
      <c r="A12" s="9" t="s">
        <v>19</v>
      </c>
      <c r="B12" s="9" t="s">
        <v>20</v>
      </c>
      <c r="C12" s="9" t="s">
        <v>21</v>
      </c>
      <c r="D12" s="9" t="s">
        <v>22</v>
      </c>
      <c r="E12" s="9" t="s">
        <v>23</v>
      </c>
      <c r="F12" s="9" t="s">
        <v>24</v>
      </c>
      <c r="G12" s="9" t="s">
        <v>25</v>
      </c>
      <c r="H12" s="9" t="s">
        <v>26</v>
      </c>
      <c r="I12" s="9" t="s">
        <v>27</v>
      </c>
      <c r="J12" s="9" t="s">
        <v>28</v>
      </c>
      <c r="K12" s="9" t="s">
        <v>29</v>
      </c>
      <c r="L12" s="9" t="s">
        <v>30</v>
      </c>
      <c r="M12" s="9" t="s">
        <v>31</v>
      </c>
      <c r="N12" s="9" t="s">
        <v>32</v>
      </c>
    </row>
    <row r="13" customFormat="false" ht="32.8" hidden="false" customHeight="false" outlineLevel="0" collapsed="false">
      <c r="A13" s="10" t="n">
        <v>1</v>
      </c>
      <c r="B13" s="10" t="s">
        <v>33</v>
      </c>
      <c r="C13" s="10" t="s">
        <v>34</v>
      </c>
      <c r="D13" s="10" t="s">
        <v>35</v>
      </c>
      <c r="E13" s="10" t="s">
        <v>36</v>
      </c>
      <c r="F13" s="10" t="s">
        <v>37</v>
      </c>
      <c r="G13" s="10" t="s">
        <v>38</v>
      </c>
      <c r="H13" s="10" t="s">
        <v>39</v>
      </c>
      <c r="I13" s="10" t="s">
        <v>40</v>
      </c>
      <c r="J13" s="11"/>
      <c r="K13" s="12"/>
      <c r="L13" s="11"/>
      <c r="M13" s="11"/>
      <c r="N13" s="11"/>
    </row>
    <row r="14" customFormat="false" ht="32.8" hidden="false" customHeight="false" outlineLevel="0" collapsed="false">
      <c r="A14" s="13" t="n">
        <v>2</v>
      </c>
      <c r="B14" s="13" t="s">
        <v>33</v>
      </c>
      <c r="C14" s="13" t="s">
        <v>34</v>
      </c>
      <c r="D14" s="13" t="s">
        <v>41</v>
      </c>
      <c r="E14" s="13" t="s">
        <v>42</v>
      </c>
      <c r="F14" s="13" t="s">
        <v>43</v>
      </c>
      <c r="G14" s="13" t="s">
        <v>44</v>
      </c>
      <c r="H14" s="13" t="s">
        <v>45</v>
      </c>
      <c r="I14" s="13" t="s">
        <v>40</v>
      </c>
      <c r="J14" s="11"/>
      <c r="K14" s="12"/>
      <c r="L14" s="11"/>
      <c r="M14" s="11"/>
      <c r="N14" s="11"/>
    </row>
    <row r="15" customFormat="false" ht="22.35" hidden="false" customHeight="false" outlineLevel="0" collapsed="false">
      <c r="A15" s="10" t="n">
        <v>3</v>
      </c>
      <c r="B15" s="10" t="s">
        <v>33</v>
      </c>
      <c r="C15" s="10" t="s">
        <v>34</v>
      </c>
      <c r="D15" s="10" t="s">
        <v>35</v>
      </c>
      <c r="E15" s="10" t="s">
        <v>46</v>
      </c>
      <c r="F15" s="10" t="s">
        <v>47</v>
      </c>
      <c r="G15" s="10" t="s">
        <v>48</v>
      </c>
      <c r="H15" s="10" t="s">
        <v>49</v>
      </c>
      <c r="I15" s="10" t="s">
        <v>40</v>
      </c>
      <c r="J15" s="11"/>
      <c r="K15" s="12"/>
      <c r="L15" s="11"/>
      <c r="M15" s="11"/>
      <c r="N15" s="11"/>
    </row>
    <row r="16" customFormat="false" ht="22.35" hidden="false" customHeight="false" outlineLevel="0" collapsed="false">
      <c r="A16" s="13" t="n">
        <v>4</v>
      </c>
      <c r="B16" s="13" t="s">
        <v>33</v>
      </c>
      <c r="C16" s="13" t="s">
        <v>34</v>
      </c>
      <c r="D16" s="13" t="s">
        <v>35</v>
      </c>
      <c r="E16" s="13" t="s">
        <v>50</v>
      </c>
      <c r="F16" s="13" t="s">
        <v>51</v>
      </c>
      <c r="G16" s="13" t="s">
        <v>52</v>
      </c>
      <c r="H16" s="13" t="s">
        <v>53</v>
      </c>
      <c r="I16" s="13" t="s">
        <v>54</v>
      </c>
      <c r="J16" s="11"/>
      <c r="K16" s="12"/>
      <c r="L16" s="11"/>
      <c r="M16" s="11"/>
      <c r="N16" s="11"/>
    </row>
    <row r="17" customFormat="false" ht="15" hidden="false" customHeight="false" outlineLevel="0" collapsed="false">
      <c r="A17" s="10" t="n">
        <v>5</v>
      </c>
      <c r="B17" s="10" t="s">
        <v>33</v>
      </c>
      <c r="C17" s="10" t="s">
        <v>34</v>
      </c>
      <c r="D17" s="10" t="s">
        <v>35</v>
      </c>
      <c r="E17" s="10" t="s">
        <v>55</v>
      </c>
      <c r="F17" s="10" t="s">
        <v>56</v>
      </c>
      <c r="G17" s="10" t="s">
        <v>57</v>
      </c>
      <c r="H17" s="10" t="s">
        <v>58</v>
      </c>
      <c r="I17" s="10" t="s">
        <v>54</v>
      </c>
      <c r="J17" s="11"/>
      <c r="K17" s="12"/>
      <c r="L17" s="11"/>
      <c r="M17" s="11"/>
      <c r="N17" s="11"/>
    </row>
    <row r="18" customFormat="false" ht="22.35" hidden="false" customHeight="false" outlineLevel="0" collapsed="false">
      <c r="A18" s="13" t="n">
        <v>6</v>
      </c>
      <c r="B18" s="13" t="s">
        <v>33</v>
      </c>
      <c r="C18" s="13" t="s">
        <v>34</v>
      </c>
      <c r="D18" s="13" t="s">
        <v>59</v>
      </c>
      <c r="E18" s="13" t="s">
        <v>60</v>
      </c>
      <c r="F18" s="13" t="s">
        <v>61</v>
      </c>
      <c r="G18" s="13" t="s">
        <v>62</v>
      </c>
      <c r="H18" s="13" t="s">
        <v>63</v>
      </c>
      <c r="I18" s="13" t="s">
        <v>54</v>
      </c>
      <c r="J18" s="11"/>
      <c r="K18" s="12"/>
      <c r="L18" s="11"/>
      <c r="M18" s="11"/>
      <c r="N18" s="11"/>
    </row>
    <row r="19" customFormat="false" ht="22.35" hidden="false" customHeight="false" outlineLevel="0" collapsed="false">
      <c r="A19" s="10" t="n">
        <v>7</v>
      </c>
      <c r="B19" s="10" t="s">
        <v>33</v>
      </c>
      <c r="C19" s="10" t="s">
        <v>34</v>
      </c>
      <c r="D19" s="10" t="s">
        <v>41</v>
      </c>
      <c r="E19" s="10" t="s">
        <v>64</v>
      </c>
      <c r="F19" s="10" t="s">
        <v>65</v>
      </c>
      <c r="G19" s="10" t="s">
        <v>66</v>
      </c>
      <c r="H19" s="10" t="s">
        <v>67</v>
      </c>
      <c r="I19" s="10" t="s">
        <v>40</v>
      </c>
      <c r="J19" s="11"/>
      <c r="K19" s="12"/>
      <c r="L19" s="11"/>
      <c r="M19" s="11"/>
      <c r="N19" s="11"/>
    </row>
    <row r="20" customFormat="false" ht="22.35" hidden="false" customHeight="false" outlineLevel="0" collapsed="false">
      <c r="A20" s="13" t="n">
        <v>8</v>
      </c>
      <c r="B20" s="13" t="s">
        <v>33</v>
      </c>
      <c r="C20" s="13" t="s">
        <v>34</v>
      </c>
      <c r="D20" s="13" t="s">
        <v>41</v>
      </c>
      <c r="E20" s="13" t="s">
        <v>68</v>
      </c>
      <c r="F20" s="13" t="s">
        <v>69</v>
      </c>
      <c r="G20" s="13" t="s">
        <v>62</v>
      </c>
      <c r="H20" s="13" t="s">
        <v>70</v>
      </c>
      <c r="I20" s="13" t="s">
        <v>40</v>
      </c>
      <c r="J20" s="11"/>
      <c r="K20" s="12"/>
      <c r="L20" s="11"/>
      <c r="M20" s="11"/>
      <c r="N20" s="11"/>
    </row>
    <row r="21" customFormat="false" ht="22.35" hidden="false" customHeight="false" outlineLevel="0" collapsed="false">
      <c r="A21" s="10" t="n">
        <v>9</v>
      </c>
      <c r="B21" s="10" t="s">
        <v>33</v>
      </c>
      <c r="C21" s="10" t="s">
        <v>34</v>
      </c>
      <c r="D21" s="10" t="s">
        <v>41</v>
      </c>
      <c r="E21" s="10" t="s">
        <v>71</v>
      </c>
      <c r="F21" s="10" t="s">
        <v>72</v>
      </c>
      <c r="G21" s="10" t="s">
        <v>62</v>
      </c>
      <c r="H21" s="10" t="s">
        <v>73</v>
      </c>
      <c r="I21" s="10" t="s">
        <v>54</v>
      </c>
      <c r="J21" s="11"/>
      <c r="K21" s="12"/>
      <c r="L21" s="11"/>
      <c r="M21" s="11"/>
      <c r="N21" s="11"/>
    </row>
    <row r="22" customFormat="false" ht="22.35" hidden="false" customHeight="false" outlineLevel="0" collapsed="false">
      <c r="A22" s="13" t="n">
        <v>10</v>
      </c>
      <c r="B22" s="13" t="s">
        <v>33</v>
      </c>
      <c r="C22" s="13" t="s">
        <v>74</v>
      </c>
      <c r="D22" s="13" t="s">
        <v>41</v>
      </c>
      <c r="E22" s="13" t="s">
        <v>75</v>
      </c>
      <c r="F22" s="13" t="s">
        <v>76</v>
      </c>
      <c r="G22" s="13" t="s">
        <v>77</v>
      </c>
      <c r="H22" s="13" t="s">
        <v>78</v>
      </c>
      <c r="I22" s="13" t="s">
        <v>40</v>
      </c>
      <c r="J22" s="11"/>
      <c r="K22" s="12"/>
      <c r="L22" s="11"/>
      <c r="M22" s="11"/>
      <c r="N22" s="11"/>
    </row>
    <row r="23" customFormat="false" ht="22.35" hidden="false" customHeight="false" outlineLevel="0" collapsed="false">
      <c r="A23" s="10" t="n">
        <v>11</v>
      </c>
      <c r="B23" s="10" t="s">
        <v>33</v>
      </c>
      <c r="C23" s="10" t="s">
        <v>79</v>
      </c>
      <c r="D23" s="10" t="s">
        <v>41</v>
      </c>
      <c r="E23" s="10" t="s">
        <v>80</v>
      </c>
      <c r="F23" s="10" t="s">
        <v>81</v>
      </c>
      <c r="G23" s="10" t="s">
        <v>82</v>
      </c>
      <c r="H23" s="10" t="s">
        <v>83</v>
      </c>
      <c r="I23" s="10" t="s">
        <v>40</v>
      </c>
      <c r="J23" s="11"/>
      <c r="K23" s="12"/>
      <c r="L23" s="11"/>
      <c r="M23" s="11"/>
      <c r="N23" s="11"/>
    </row>
    <row r="24" customFormat="false" ht="22.35" hidden="false" customHeight="false" outlineLevel="0" collapsed="false">
      <c r="A24" s="13" t="n">
        <v>12</v>
      </c>
      <c r="B24" s="13" t="s">
        <v>33</v>
      </c>
      <c r="C24" s="13" t="s">
        <v>84</v>
      </c>
      <c r="D24" s="13" t="s">
        <v>41</v>
      </c>
      <c r="E24" s="13" t="s">
        <v>85</v>
      </c>
      <c r="F24" s="13" t="s">
        <v>86</v>
      </c>
      <c r="G24" s="13" t="s">
        <v>87</v>
      </c>
      <c r="H24" s="13" t="s">
        <v>88</v>
      </c>
      <c r="I24" s="13" t="s">
        <v>40</v>
      </c>
      <c r="J24" s="11"/>
      <c r="K24" s="12"/>
      <c r="L24" s="11"/>
      <c r="M24" s="11"/>
      <c r="N24" s="11"/>
    </row>
    <row r="25" customFormat="false" ht="22.35" hidden="false" customHeight="false" outlineLevel="0" collapsed="false">
      <c r="A25" s="10" t="n">
        <v>13</v>
      </c>
      <c r="B25" s="10" t="s">
        <v>33</v>
      </c>
      <c r="C25" s="10" t="s">
        <v>89</v>
      </c>
      <c r="D25" s="10" t="s">
        <v>59</v>
      </c>
      <c r="E25" s="10" t="s">
        <v>90</v>
      </c>
      <c r="F25" s="10" t="s">
        <v>91</v>
      </c>
      <c r="G25" s="10" t="s">
        <v>92</v>
      </c>
      <c r="H25" s="10" t="s">
        <v>93</v>
      </c>
      <c r="I25" s="10" t="s">
        <v>40</v>
      </c>
      <c r="J25" s="11"/>
      <c r="K25" s="12"/>
      <c r="L25" s="11"/>
      <c r="M25" s="11"/>
      <c r="N25" s="11"/>
    </row>
    <row r="26" customFormat="false" ht="15" hidden="false" customHeight="false" outlineLevel="0" collapsed="false">
      <c r="A26" s="13" t="n">
        <v>14</v>
      </c>
      <c r="B26" s="13" t="s">
        <v>33</v>
      </c>
      <c r="C26" s="13" t="s">
        <v>94</v>
      </c>
      <c r="D26" s="13" t="s">
        <v>59</v>
      </c>
      <c r="E26" s="13" t="s">
        <v>95</v>
      </c>
      <c r="F26" s="13" t="s">
        <v>96</v>
      </c>
      <c r="G26" s="13" t="s">
        <v>97</v>
      </c>
      <c r="H26" s="13" t="s">
        <v>98</v>
      </c>
      <c r="I26" s="13" t="s">
        <v>54</v>
      </c>
      <c r="J26" s="11"/>
      <c r="K26" s="12"/>
      <c r="L26" s="11"/>
      <c r="M26" s="11"/>
      <c r="N26" s="11"/>
    </row>
    <row r="27" customFormat="false" ht="22.35" hidden="false" customHeight="false" outlineLevel="0" collapsed="false">
      <c r="A27" s="10" t="n">
        <v>15</v>
      </c>
      <c r="B27" s="10" t="s">
        <v>33</v>
      </c>
      <c r="C27" s="10" t="s">
        <v>99</v>
      </c>
      <c r="D27" s="10" t="s">
        <v>59</v>
      </c>
      <c r="E27" s="10" t="s">
        <v>100</v>
      </c>
      <c r="F27" s="10" t="s">
        <v>101</v>
      </c>
      <c r="G27" s="10" t="s">
        <v>102</v>
      </c>
      <c r="H27" s="10" t="s">
        <v>103</v>
      </c>
      <c r="I27" s="10" t="s">
        <v>54</v>
      </c>
      <c r="J27" s="11"/>
      <c r="K27" s="12"/>
      <c r="L27" s="11"/>
      <c r="M27" s="11"/>
      <c r="N27" s="11"/>
    </row>
    <row r="28" customFormat="false" ht="22.35" hidden="false" customHeight="false" outlineLevel="0" collapsed="false">
      <c r="A28" s="13" t="n">
        <v>16</v>
      </c>
      <c r="B28" s="13" t="s">
        <v>33</v>
      </c>
      <c r="C28" s="13" t="s">
        <v>104</v>
      </c>
      <c r="D28" s="13" t="s">
        <v>35</v>
      </c>
      <c r="E28" s="13" t="s">
        <v>105</v>
      </c>
      <c r="F28" s="13" t="s">
        <v>106</v>
      </c>
      <c r="G28" s="13" t="s">
        <v>107</v>
      </c>
      <c r="H28" s="13" t="s">
        <v>108</v>
      </c>
      <c r="I28" s="13" t="s">
        <v>40</v>
      </c>
      <c r="J28" s="11"/>
      <c r="K28" s="12"/>
      <c r="L28" s="11"/>
      <c r="M28" s="11"/>
      <c r="N28" s="11"/>
    </row>
    <row r="29" customFormat="false" ht="22.35" hidden="false" customHeight="false" outlineLevel="0" collapsed="false">
      <c r="A29" s="10" t="n">
        <v>17</v>
      </c>
      <c r="B29" s="10" t="s">
        <v>33</v>
      </c>
      <c r="C29" s="10" t="s">
        <v>109</v>
      </c>
      <c r="D29" s="10" t="s">
        <v>109</v>
      </c>
      <c r="E29" s="10" t="s">
        <v>110</v>
      </c>
      <c r="F29" s="10" t="s">
        <v>111</v>
      </c>
      <c r="G29" s="10" t="s">
        <v>112</v>
      </c>
      <c r="H29" s="10" t="s">
        <v>113</v>
      </c>
      <c r="I29" s="10" t="s">
        <v>54</v>
      </c>
      <c r="J29" s="11"/>
      <c r="K29" s="12"/>
      <c r="L29" s="11"/>
      <c r="M29" s="11"/>
      <c r="N29" s="11"/>
    </row>
    <row r="30" customFormat="false" ht="15" hidden="false" customHeight="false" outlineLevel="0" collapsed="false">
      <c r="A30" s="13" t="n">
        <v>18</v>
      </c>
      <c r="B30" s="13" t="s">
        <v>114</v>
      </c>
      <c r="C30" s="13" t="s">
        <v>115</v>
      </c>
      <c r="D30" s="13" t="s">
        <v>35</v>
      </c>
      <c r="E30" s="13" t="s">
        <v>116</v>
      </c>
      <c r="F30" s="13" t="s">
        <v>117</v>
      </c>
      <c r="G30" s="13" t="s">
        <v>118</v>
      </c>
      <c r="H30" s="13" t="s">
        <v>119</v>
      </c>
      <c r="I30" s="13" t="s">
        <v>40</v>
      </c>
      <c r="J30" s="11"/>
      <c r="K30" s="12"/>
      <c r="L30" s="11"/>
      <c r="M30" s="11"/>
      <c r="N30" s="11"/>
    </row>
    <row r="31" customFormat="false" ht="43.25" hidden="false" customHeight="false" outlineLevel="0" collapsed="false">
      <c r="A31" s="10" t="n">
        <v>19</v>
      </c>
      <c r="B31" s="10" t="s">
        <v>114</v>
      </c>
      <c r="C31" s="10" t="s">
        <v>120</v>
      </c>
      <c r="D31" s="10" t="s">
        <v>35</v>
      </c>
      <c r="E31" s="10" t="s">
        <v>121</v>
      </c>
      <c r="F31" s="10" t="s">
        <v>122</v>
      </c>
      <c r="G31" s="10" t="s">
        <v>123</v>
      </c>
      <c r="H31" s="10" t="s">
        <v>124</v>
      </c>
      <c r="I31" s="10" t="s">
        <v>40</v>
      </c>
      <c r="J31" s="11"/>
      <c r="K31" s="12"/>
      <c r="L31" s="11"/>
      <c r="M31" s="11"/>
      <c r="N31" s="11"/>
    </row>
    <row r="32" customFormat="false" ht="43.25" hidden="false" customHeight="false" outlineLevel="0" collapsed="false">
      <c r="A32" s="13" t="n">
        <v>20</v>
      </c>
      <c r="B32" s="13" t="s">
        <v>114</v>
      </c>
      <c r="C32" s="13" t="s">
        <v>120</v>
      </c>
      <c r="D32" s="13" t="s">
        <v>35</v>
      </c>
      <c r="E32" s="13" t="s">
        <v>125</v>
      </c>
      <c r="F32" s="13" t="s">
        <v>126</v>
      </c>
      <c r="G32" s="13" t="s">
        <v>127</v>
      </c>
      <c r="H32" s="13" t="s">
        <v>128</v>
      </c>
      <c r="I32" s="13" t="s">
        <v>40</v>
      </c>
      <c r="J32" s="11"/>
      <c r="K32" s="12"/>
      <c r="L32" s="11"/>
      <c r="M32" s="11"/>
      <c r="N32" s="11"/>
    </row>
    <row r="33" customFormat="false" ht="15" hidden="false" customHeight="false" outlineLevel="0" collapsed="false">
      <c r="A33" s="10" t="n">
        <v>21</v>
      </c>
      <c r="B33" s="10" t="s">
        <v>114</v>
      </c>
      <c r="C33" s="10" t="s">
        <v>120</v>
      </c>
      <c r="D33" s="10" t="s">
        <v>35</v>
      </c>
      <c r="E33" s="10" t="s">
        <v>129</v>
      </c>
      <c r="F33" s="10" t="s">
        <v>130</v>
      </c>
      <c r="G33" s="10" t="s">
        <v>131</v>
      </c>
      <c r="H33" s="10" t="s">
        <v>132</v>
      </c>
      <c r="I33" s="10" t="s">
        <v>40</v>
      </c>
      <c r="J33" s="11"/>
      <c r="K33" s="12"/>
      <c r="L33" s="11"/>
      <c r="M33" s="11"/>
      <c r="N33" s="11"/>
    </row>
    <row r="34" customFormat="false" ht="22.35" hidden="false" customHeight="false" outlineLevel="0" collapsed="false">
      <c r="A34" s="13" t="n">
        <v>22</v>
      </c>
      <c r="B34" s="13" t="s">
        <v>114</v>
      </c>
      <c r="C34" s="13" t="s">
        <v>120</v>
      </c>
      <c r="D34" s="13" t="s">
        <v>35</v>
      </c>
      <c r="E34" s="13" t="s">
        <v>133</v>
      </c>
      <c r="F34" s="13" t="s">
        <v>134</v>
      </c>
      <c r="G34" s="13" t="s">
        <v>135</v>
      </c>
      <c r="H34" s="13" t="s">
        <v>136</v>
      </c>
      <c r="I34" s="13" t="s">
        <v>54</v>
      </c>
      <c r="J34" s="11"/>
      <c r="K34" s="12"/>
      <c r="L34" s="11"/>
      <c r="M34" s="11"/>
      <c r="N34" s="11"/>
    </row>
    <row r="35" customFormat="false" ht="22.35" hidden="false" customHeight="false" outlineLevel="0" collapsed="false">
      <c r="A35" s="10" t="n">
        <v>23</v>
      </c>
      <c r="B35" s="10" t="s">
        <v>114</v>
      </c>
      <c r="C35" s="10" t="s">
        <v>120</v>
      </c>
      <c r="D35" s="10" t="s">
        <v>59</v>
      </c>
      <c r="E35" s="10" t="s">
        <v>137</v>
      </c>
      <c r="F35" s="10" t="s">
        <v>138</v>
      </c>
      <c r="G35" s="10" t="s">
        <v>139</v>
      </c>
      <c r="H35" s="10" t="s">
        <v>140</v>
      </c>
      <c r="I35" s="10" t="s">
        <v>54</v>
      </c>
      <c r="J35" s="11"/>
      <c r="K35" s="12"/>
      <c r="L35" s="11"/>
      <c r="M35" s="11"/>
      <c r="N35" s="11"/>
    </row>
    <row r="36" customFormat="false" ht="15" hidden="false" customHeight="false" outlineLevel="0" collapsed="false">
      <c r="A36" s="13" t="n">
        <v>24</v>
      </c>
      <c r="B36" s="13" t="s">
        <v>114</v>
      </c>
      <c r="C36" s="13" t="s">
        <v>120</v>
      </c>
      <c r="D36" s="13" t="s">
        <v>35</v>
      </c>
      <c r="E36" s="13" t="s">
        <v>141</v>
      </c>
      <c r="F36" s="13" t="s">
        <v>138</v>
      </c>
      <c r="G36" s="13" t="s">
        <v>142</v>
      </c>
      <c r="H36" s="13" t="s">
        <v>143</v>
      </c>
      <c r="I36" s="13" t="s">
        <v>144</v>
      </c>
      <c r="J36" s="11"/>
      <c r="K36" s="12"/>
      <c r="L36" s="11"/>
      <c r="M36" s="11"/>
      <c r="N36" s="11"/>
    </row>
    <row r="37" customFormat="false" ht="15" hidden="false" customHeight="false" outlineLevel="0" collapsed="false">
      <c r="A37" s="10" t="n">
        <v>25</v>
      </c>
      <c r="B37" s="10" t="s">
        <v>114</v>
      </c>
      <c r="C37" s="10" t="s">
        <v>120</v>
      </c>
      <c r="D37" s="10" t="s">
        <v>35</v>
      </c>
      <c r="E37" s="10" t="s">
        <v>145</v>
      </c>
      <c r="F37" s="10" t="s">
        <v>146</v>
      </c>
      <c r="G37" s="10" t="s">
        <v>147</v>
      </c>
      <c r="H37" s="10" t="s">
        <v>148</v>
      </c>
      <c r="I37" s="10" t="s">
        <v>54</v>
      </c>
      <c r="J37" s="11"/>
      <c r="K37" s="12"/>
      <c r="L37" s="11"/>
      <c r="M37" s="11"/>
      <c r="N37" s="11"/>
    </row>
    <row r="38" customFormat="false" ht="22.35" hidden="false" customHeight="false" outlineLevel="0" collapsed="false">
      <c r="A38" s="13" t="n">
        <v>26</v>
      </c>
      <c r="B38" s="13" t="s">
        <v>114</v>
      </c>
      <c r="C38" s="13" t="s">
        <v>120</v>
      </c>
      <c r="D38" s="13" t="s">
        <v>35</v>
      </c>
      <c r="E38" s="13" t="s">
        <v>149</v>
      </c>
      <c r="F38" s="13" t="s">
        <v>138</v>
      </c>
      <c r="G38" s="13" t="s">
        <v>150</v>
      </c>
      <c r="H38" s="13" t="s">
        <v>151</v>
      </c>
      <c r="I38" s="13" t="s">
        <v>144</v>
      </c>
      <c r="J38" s="11"/>
      <c r="K38" s="12"/>
      <c r="L38" s="11"/>
      <c r="M38" s="11"/>
      <c r="N38" s="11"/>
    </row>
    <row r="39" customFormat="false" ht="15" hidden="false" customHeight="false" outlineLevel="0" collapsed="false">
      <c r="A39" s="10" t="n">
        <v>27</v>
      </c>
      <c r="B39" s="10" t="s">
        <v>114</v>
      </c>
      <c r="C39" s="10" t="s">
        <v>120</v>
      </c>
      <c r="D39" s="10" t="s">
        <v>35</v>
      </c>
      <c r="E39" s="10" t="s">
        <v>152</v>
      </c>
      <c r="F39" s="10" t="s">
        <v>153</v>
      </c>
      <c r="G39" s="10" t="s">
        <v>154</v>
      </c>
      <c r="H39" s="10" t="s">
        <v>155</v>
      </c>
      <c r="I39" s="10" t="s">
        <v>54</v>
      </c>
      <c r="J39" s="11"/>
      <c r="K39" s="12"/>
      <c r="L39" s="11"/>
      <c r="M39" s="11"/>
      <c r="N39" s="11"/>
    </row>
    <row r="40" customFormat="false" ht="22.35" hidden="false" customHeight="false" outlineLevel="0" collapsed="false">
      <c r="A40" s="13" t="n">
        <v>28</v>
      </c>
      <c r="B40" s="13" t="s">
        <v>114</v>
      </c>
      <c r="C40" s="13" t="s">
        <v>120</v>
      </c>
      <c r="D40" s="13" t="s">
        <v>35</v>
      </c>
      <c r="E40" s="13" t="s">
        <v>156</v>
      </c>
      <c r="F40" s="13" t="s">
        <v>157</v>
      </c>
      <c r="G40" s="13" t="s">
        <v>158</v>
      </c>
      <c r="H40" s="13" t="s">
        <v>159</v>
      </c>
      <c r="I40" s="13" t="s">
        <v>54</v>
      </c>
      <c r="J40" s="11"/>
      <c r="K40" s="12"/>
      <c r="L40" s="11"/>
      <c r="M40" s="11"/>
      <c r="N40" s="11"/>
    </row>
    <row r="41" customFormat="false" ht="22.35" hidden="false" customHeight="false" outlineLevel="0" collapsed="false">
      <c r="A41" s="10" t="n">
        <v>29</v>
      </c>
      <c r="B41" s="10" t="s">
        <v>114</v>
      </c>
      <c r="C41" s="10" t="s">
        <v>120</v>
      </c>
      <c r="D41" s="10" t="s">
        <v>35</v>
      </c>
      <c r="E41" s="10" t="s">
        <v>160</v>
      </c>
      <c r="F41" s="10" t="s">
        <v>161</v>
      </c>
      <c r="G41" s="10" t="s">
        <v>162</v>
      </c>
      <c r="H41" s="10" t="s">
        <v>163</v>
      </c>
      <c r="I41" s="10" t="s">
        <v>54</v>
      </c>
      <c r="J41" s="11"/>
      <c r="K41" s="12"/>
      <c r="L41" s="11"/>
      <c r="M41" s="11"/>
      <c r="N41" s="11"/>
    </row>
    <row r="42" customFormat="false" ht="22.35" hidden="false" customHeight="false" outlineLevel="0" collapsed="false">
      <c r="A42" s="13" t="n">
        <v>30</v>
      </c>
      <c r="B42" s="13" t="s">
        <v>114</v>
      </c>
      <c r="C42" s="13" t="s">
        <v>120</v>
      </c>
      <c r="D42" s="13" t="s">
        <v>35</v>
      </c>
      <c r="E42" s="13" t="s">
        <v>164</v>
      </c>
      <c r="F42" s="13" t="s">
        <v>165</v>
      </c>
      <c r="G42" s="13" t="s">
        <v>166</v>
      </c>
      <c r="H42" s="13" t="s">
        <v>167</v>
      </c>
      <c r="I42" s="13" t="s">
        <v>144</v>
      </c>
      <c r="J42" s="11"/>
      <c r="K42" s="12"/>
      <c r="L42" s="11"/>
      <c r="M42" s="11"/>
      <c r="N42" s="11"/>
    </row>
    <row r="43" customFormat="false" ht="22.35" hidden="false" customHeight="false" outlineLevel="0" collapsed="false">
      <c r="A43" s="10" t="n">
        <v>31</v>
      </c>
      <c r="B43" s="10" t="s">
        <v>114</v>
      </c>
      <c r="C43" s="10" t="s">
        <v>168</v>
      </c>
      <c r="D43" s="10" t="s">
        <v>35</v>
      </c>
      <c r="E43" s="10" t="s">
        <v>169</v>
      </c>
      <c r="F43" s="10" t="s">
        <v>170</v>
      </c>
      <c r="G43" s="10" t="s">
        <v>171</v>
      </c>
      <c r="H43" s="10" t="s">
        <v>172</v>
      </c>
      <c r="I43" s="10" t="s">
        <v>40</v>
      </c>
      <c r="J43" s="11"/>
      <c r="K43" s="12"/>
      <c r="L43" s="11"/>
      <c r="M43" s="11"/>
      <c r="N43" s="11"/>
    </row>
    <row r="44" customFormat="false" ht="15" hidden="false" customHeight="false" outlineLevel="0" collapsed="false">
      <c r="A44" s="13" t="n">
        <v>32</v>
      </c>
      <c r="B44" s="13" t="s">
        <v>114</v>
      </c>
      <c r="C44" s="13" t="s">
        <v>173</v>
      </c>
      <c r="D44" s="13" t="s">
        <v>35</v>
      </c>
      <c r="E44" s="13" t="s">
        <v>174</v>
      </c>
      <c r="F44" s="13" t="s">
        <v>175</v>
      </c>
      <c r="G44" s="13" t="s">
        <v>176</v>
      </c>
      <c r="H44" s="13" t="s">
        <v>177</v>
      </c>
      <c r="I44" s="13" t="s">
        <v>54</v>
      </c>
      <c r="J44" s="11"/>
      <c r="K44" s="12"/>
      <c r="L44" s="11"/>
      <c r="M44" s="11"/>
      <c r="N44" s="11"/>
    </row>
    <row r="45" customFormat="false" ht="22.35" hidden="false" customHeight="false" outlineLevel="0" collapsed="false">
      <c r="A45" s="10" t="n">
        <v>33</v>
      </c>
      <c r="B45" s="10" t="s">
        <v>114</v>
      </c>
      <c r="C45" s="10" t="s">
        <v>178</v>
      </c>
      <c r="D45" s="10" t="s">
        <v>35</v>
      </c>
      <c r="E45" s="10" t="s">
        <v>179</v>
      </c>
      <c r="F45" s="10" t="s">
        <v>180</v>
      </c>
      <c r="G45" s="10" t="s">
        <v>181</v>
      </c>
      <c r="H45" s="10" t="s">
        <v>182</v>
      </c>
      <c r="I45" s="10" t="s">
        <v>40</v>
      </c>
      <c r="J45" s="11"/>
      <c r="K45" s="12"/>
      <c r="L45" s="11"/>
      <c r="M45" s="11"/>
      <c r="N45" s="11"/>
    </row>
    <row r="46" customFormat="false" ht="15" hidden="false" customHeight="false" outlineLevel="0" collapsed="false">
      <c r="A46" s="13" t="n">
        <v>34</v>
      </c>
      <c r="B46" s="13" t="s">
        <v>114</v>
      </c>
      <c r="C46" s="13" t="s">
        <v>178</v>
      </c>
      <c r="D46" s="13" t="s">
        <v>35</v>
      </c>
      <c r="E46" s="13" t="s">
        <v>183</v>
      </c>
      <c r="F46" s="13" t="s">
        <v>184</v>
      </c>
      <c r="G46" s="13" t="s">
        <v>185</v>
      </c>
      <c r="H46" s="13" t="s">
        <v>186</v>
      </c>
      <c r="I46" s="13" t="s">
        <v>144</v>
      </c>
      <c r="J46" s="11"/>
      <c r="K46" s="12"/>
      <c r="L46" s="11"/>
      <c r="M46" s="11"/>
      <c r="N46" s="11"/>
    </row>
    <row r="47" customFormat="false" ht="22.35" hidden="false" customHeight="false" outlineLevel="0" collapsed="false">
      <c r="A47" s="10" t="n">
        <v>35</v>
      </c>
      <c r="B47" s="10" t="s">
        <v>114</v>
      </c>
      <c r="C47" s="10" t="s">
        <v>187</v>
      </c>
      <c r="D47" s="10" t="s">
        <v>35</v>
      </c>
      <c r="E47" s="10" t="s">
        <v>188</v>
      </c>
      <c r="F47" s="10" t="s">
        <v>189</v>
      </c>
      <c r="G47" s="10" t="s">
        <v>190</v>
      </c>
      <c r="H47" s="10" t="s">
        <v>191</v>
      </c>
      <c r="I47" s="10" t="s">
        <v>54</v>
      </c>
      <c r="J47" s="11"/>
      <c r="K47" s="12"/>
      <c r="L47" s="11"/>
      <c r="M47" s="11"/>
      <c r="N47" s="11"/>
    </row>
    <row r="48" customFormat="false" ht="22.35" hidden="false" customHeight="false" outlineLevel="0" collapsed="false">
      <c r="A48" s="13" t="n">
        <v>36</v>
      </c>
      <c r="B48" s="13" t="s">
        <v>114</v>
      </c>
      <c r="C48" s="13" t="s">
        <v>192</v>
      </c>
      <c r="D48" s="13" t="s">
        <v>35</v>
      </c>
      <c r="E48" s="13" t="s">
        <v>193</v>
      </c>
      <c r="F48" s="13" t="s">
        <v>194</v>
      </c>
      <c r="G48" s="13" t="s">
        <v>195</v>
      </c>
      <c r="H48" s="13" t="s">
        <v>196</v>
      </c>
      <c r="I48" s="13" t="s">
        <v>40</v>
      </c>
      <c r="J48" s="11"/>
      <c r="K48" s="12"/>
      <c r="L48" s="11"/>
      <c r="M48" s="11"/>
      <c r="N48" s="11"/>
    </row>
    <row r="49" customFormat="false" ht="15" hidden="false" customHeight="false" outlineLevel="0" collapsed="false">
      <c r="A49" s="10" t="n">
        <v>37</v>
      </c>
      <c r="B49" s="10" t="s">
        <v>114</v>
      </c>
      <c r="C49" s="10" t="s">
        <v>197</v>
      </c>
      <c r="D49" s="10" t="s">
        <v>35</v>
      </c>
      <c r="E49" s="10" t="s">
        <v>198</v>
      </c>
      <c r="F49" s="10" t="s">
        <v>199</v>
      </c>
      <c r="G49" s="10" t="s">
        <v>200</v>
      </c>
      <c r="H49" s="10" t="s">
        <v>201</v>
      </c>
      <c r="I49" s="10" t="s">
        <v>144</v>
      </c>
      <c r="J49" s="11"/>
      <c r="K49" s="12"/>
      <c r="L49" s="11"/>
      <c r="M49" s="11"/>
      <c r="N49" s="11"/>
    </row>
    <row r="50" customFormat="false" ht="15" hidden="false" customHeight="false" outlineLevel="0" collapsed="false">
      <c r="A50" s="13" t="n">
        <v>38</v>
      </c>
      <c r="B50" s="13" t="s">
        <v>114</v>
      </c>
      <c r="C50" s="13" t="s">
        <v>202</v>
      </c>
      <c r="D50" s="13" t="s">
        <v>35</v>
      </c>
      <c r="E50" s="13" t="s">
        <v>203</v>
      </c>
      <c r="F50" s="13" t="s">
        <v>204</v>
      </c>
      <c r="G50" s="13" t="s">
        <v>205</v>
      </c>
      <c r="H50" s="13" t="s">
        <v>206</v>
      </c>
      <c r="I50" s="13" t="s">
        <v>54</v>
      </c>
      <c r="J50" s="11"/>
      <c r="K50" s="12"/>
      <c r="L50" s="11"/>
      <c r="M50" s="11"/>
      <c r="N50" s="11"/>
    </row>
    <row r="51" customFormat="false" ht="15" hidden="false" customHeight="false" outlineLevel="0" collapsed="false">
      <c r="A51" s="10" t="n">
        <v>39</v>
      </c>
      <c r="B51" s="10" t="s">
        <v>114</v>
      </c>
      <c r="C51" s="10" t="s">
        <v>207</v>
      </c>
      <c r="D51" s="10" t="s">
        <v>35</v>
      </c>
      <c r="E51" s="10" t="s">
        <v>208</v>
      </c>
      <c r="F51" s="10" t="s">
        <v>209</v>
      </c>
      <c r="G51" s="10" t="s">
        <v>210</v>
      </c>
      <c r="H51" s="10" t="s">
        <v>211</v>
      </c>
      <c r="I51" s="10" t="s">
        <v>144</v>
      </c>
      <c r="J51" s="11"/>
      <c r="K51" s="12"/>
      <c r="L51" s="11"/>
      <c r="M51" s="11"/>
      <c r="N51" s="11"/>
    </row>
    <row r="52" customFormat="false" ht="15" hidden="false" customHeight="false" outlineLevel="0" collapsed="false">
      <c r="A52" s="13" t="n">
        <v>40</v>
      </c>
      <c r="B52" s="13" t="s">
        <v>212</v>
      </c>
      <c r="C52" s="13" t="s">
        <v>213</v>
      </c>
      <c r="D52" s="13" t="s">
        <v>35</v>
      </c>
      <c r="E52" s="13" t="s">
        <v>214</v>
      </c>
      <c r="F52" s="13" t="s">
        <v>194</v>
      </c>
      <c r="G52" s="13" t="s">
        <v>215</v>
      </c>
      <c r="H52" s="13" t="s">
        <v>216</v>
      </c>
      <c r="I52" s="13" t="s">
        <v>40</v>
      </c>
      <c r="J52" s="11"/>
      <c r="K52" s="12"/>
      <c r="L52" s="11"/>
      <c r="M52" s="11"/>
      <c r="N52" s="11"/>
    </row>
    <row r="53" customFormat="false" ht="15" hidden="false" customHeight="false" outlineLevel="0" collapsed="false">
      <c r="A53" s="10" t="n">
        <v>41</v>
      </c>
      <c r="B53" s="10" t="s">
        <v>212</v>
      </c>
      <c r="C53" s="10" t="s">
        <v>217</v>
      </c>
      <c r="D53" s="10" t="s">
        <v>35</v>
      </c>
      <c r="E53" s="10" t="s">
        <v>218</v>
      </c>
      <c r="F53" s="10" t="s">
        <v>219</v>
      </c>
      <c r="G53" s="10" t="s">
        <v>220</v>
      </c>
      <c r="H53" s="10" t="s">
        <v>221</v>
      </c>
      <c r="I53" s="10" t="s">
        <v>40</v>
      </c>
      <c r="J53" s="11"/>
      <c r="K53" s="12"/>
      <c r="L53" s="11"/>
      <c r="M53" s="11"/>
      <c r="N53" s="11"/>
    </row>
    <row r="54" customFormat="false" ht="15" hidden="false" customHeight="false" outlineLevel="0" collapsed="false">
      <c r="A54" s="13" t="n">
        <v>42</v>
      </c>
      <c r="B54" s="13" t="s">
        <v>212</v>
      </c>
      <c r="C54" s="13" t="s">
        <v>222</v>
      </c>
      <c r="D54" s="13" t="s">
        <v>35</v>
      </c>
      <c r="E54" s="13" t="s">
        <v>223</v>
      </c>
      <c r="F54" s="13" t="s">
        <v>224</v>
      </c>
      <c r="G54" s="13" t="s">
        <v>225</v>
      </c>
      <c r="H54" s="13" t="s">
        <v>226</v>
      </c>
      <c r="I54" s="13" t="s">
        <v>54</v>
      </c>
      <c r="J54" s="11"/>
      <c r="K54" s="12"/>
      <c r="L54" s="11"/>
      <c r="M54" s="11"/>
      <c r="N54" s="11"/>
    </row>
    <row r="55" customFormat="false" ht="22.35" hidden="false" customHeight="false" outlineLevel="0" collapsed="false">
      <c r="A55" s="10" t="n">
        <v>43</v>
      </c>
      <c r="B55" s="10" t="s">
        <v>227</v>
      </c>
      <c r="C55" s="10" t="s">
        <v>228</v>
      </c>
      <c r="D55" s="10" t="s">
        <v>35</v>
      </c>
      <c r="E55" s="10" t="s">
        <v>229</v>
      </c>
      <c r="F55" s="10" t="s">
        <v>230</v>
      </c>
      <c r="G55" s="10" t="s">
        <v>231</v>
      </c>
      <c r="H55" s="10" t="s">
        <v>232</v>
      </c>
      <c r="I55" s="10" t="s">
        <v>40</v>
      </c>
      <c r="J55" s="11"/>
      <c r="K55" s="12"/>
      <c r="L55" s="11"/>
      <c r="M55" s="11"/>
      <c r="N55" s="11"/>
    </row>
    <row r="56" customFormat="false" ht="15" hidden="false" customHeight="false" outlineLevel="0" collapsed="false">
      <c r="A56" s="13" t="n">
        <v>44</v>
      </c>
      <c r="B56" s="13" t="s">
        <v>227</v>
      </c>
      <c r="C56" s="13" t="s">
        <v>233</v>
      </c>
      <c r="D56" s="13" t="s">
        <v>35</v>
      </c>
      <c r="E56" s="13" t="s">
        <v>234</v>
      </c>
      <c r="F56" s="13" t="s">
        <v>235</v>
      </c>
      <c r="G56" s="13" t="s">
        <v>236</v>
      </c>
      <c r="H56" s="13" t="s">
        <v>237</v>
      </c>
      <c r="I56" s="13" t="s">
        <v>40</v>
      </c>
      <c r="J56" s="11"/>
      <c r="K56" s="12"/>
      <c r="L56" s="11"/>
      <c r="M56" s="11"/>
      <c r="N56" s="11"/>
    </row>
    <row r="57" customFormat="false" ht="15" hidden="false" customHeight="false" outlineLevel="0" collapsed="false">
      <c r="A57" s="10" t="n">
        <v>45</v>
      </c>
      <c r="B57" s="10" t="s">
        <v>227</v>
      </c>
      <c r="C57" s="10" t="s">
        <v>238</v>
      </c>
      <c r="D57" s="10" t="s">
        <v>35</v>
      </c>
      <c r="E57" s="10" t="s">
        <v>239</v>
      </c>
      <c r="F57" s="10" t="s">
        <v>240</v>
      </c>
      <c r="G57" s="10" t="s">
        <v>241</v>
      </c>
      <c r="H57" s="10" t="s">
        <v>242</v>
      </c>
      <c r="I57" s="10" t="s">
        <v>40</v>
      </c>
      <c r="J57" s="11"/>
      <c r="K57" s="12"/>
      <c r="L57" s="11"/>
      <c r="M57" s="11"/>
      <c r="N57" s="11"/>
    </row>
    <row r="58" customFormat="false" ht="22.35" hidden="false" customHeight="false" outlineLevel="0" collapsed="false">
      <c r="A58" s="13" t="n">
        <v>46</v>
      </c>
      <c r="B58" s="13" t="s">
        <v>243</v>
      </c>
      <c r="C58" s="13" t="s">
        <v>244</v>
      </c>
      <c r="D58" s="13" t="s">
        <v>35</v>
      </c>
      <c r="E58" s="13" t="s">
        <v>245</v>
      </c>
      <c r="F58" s="13" t="s">
        <v>246</v>
      </c>
      <c r="G58" s="13" t="s">
        <v>247</v>
      </c>
      <c r="H58" s="13" t="s">
        <v>248</v>
      </c>
      <c r="I58" s="13" t="s">
        <v>54</v>
      </c>
      <c r="J58" s="11"/>
      <c r="K58" s="12"/>
      <c r="L58" s="11"/>
      <c r="M58" s="11"/>
      <c r="N58" s="11"/>
    </row>
    <row r="59" customFormat="false" ht="22.35" hidden="false" customHeight="false" outlineLevel="0" collapsed="false">
      <c r="A59" s="10" t="n">
        <v>47</v>
      </c>
      <c r="B59" s="10" t="s">
        <v>243</v>
      </c>
      <c r="C59" s="10" t="s">
        <v>249</v>
      </c>
      <c r="D59" s="10" t="s">
        <v>35</v>
      </c>
      <c r="E59" s="10" t="s">
        <v>250</v>
      </c>
      <c r="F59" s="10" t="s">
        <v>251</v>
      </c>
      <c r="G59" s="10" t="s">
        <v>252</v>
      </c>
      <c r="H59" s="10" t="s">
        <v>253</v>
      </c>
      <c r="I59" s="10" t="s">
        <v>54</v>
      </c>
      <c r="J59" s="11"/>
      <c r="K59" s="12"/>
      <c r="L59" s="11"/>
      <c r="M59" s="11"/>
      <c r="N59" s="11"/>
    </row>
    <row r="60" customFormat="false" ht="22.35" hidden="false" customHeight="false" outlineLevel="0" collapsed="false">
      <c r="A60" s="13" t="n">
        <v>48</v>
      </c>
      <c r="B60" s="13" t="s">
        <v>243</v>
      </c>
      <c r="C60" s="13" t="s">
        <v>254</v>
      </c>
      <c r="D60" s="13" t="s">
        <v>35</v>
      </c>
      <c r="E60" s="13" t="s">
        <v>255</v>
      </c>
      <c r="F60" s="13" t="s">
        <v>256</v>
      </c>
      <c r="G60" s="13" t="s">
        <v>257</v>
      </c>
      <c r="H60" s="13" t="s">
        <v>258</v>
      </c>
      <c r="I60" s="13" t="s">
        <v>40</v>
      </c>
      <c r="J60" s="11"/>
      <c r="K60" s="12"/>
      <c r="L60" s="11"/>
      <c r="M60" s="11"/>
      <c r="N60" s="11"/>
    </row>
    <row r="61" customFormat="false" ht="22.35" hidden="false" customHeight="false" outlineLevel="0" collapsed="false">
      <c r="A61" s="10" t="n">
        <v>49</v>
      </c>
      <c r="B61" s="10" t="s">
        <v>243</v>
      </c>
      <c r="C61" s="10" t="s">
        <v>259</v>
      </c>
      <c r="D61" s="10" t="s">
        <v>35</v>
      </c>
      <c r="E61" s="10" t="s">
        <v>260</v>
      </c>
      <c r="F61" s="10" t="s">
        <v>261</v>
      </c>
      <c r="G61" s="10" t="s">
        <v>262</v>
      </c>
      <c r="H61" s="10" t="s">
        <v>263</v>
      </c>
      <c r="I61" s="10" t="s">
        <v>144</v>
      </c>
      <c r="J61" s="11"/>
      <c r="K61" s="12"/>
      <c r="L61" s="11"/>
      <c r="M61" s="11"/>
      <c r="N61" s="11"/>
    </row>
    <row r="62" customFormat="false" ht="22.35" hidden="false" customHeight="false" outlineLevel="0" collapsed="false">
      <c r="A62" s="13" t="n">
        <v>50</v>
      </c>
      <c r="B62" s="13" t="s">
        <v>243</v>
      </c>
      <c r="C62" s="13" t="s">
        <v>264</v>
      </c>
      <c r="D62" s="13" t="s">
        <v>35</v>
      </c>
      <c r="E62" s="13" t="s">
        <v>265</v>
      </c>
      <c r="F62" s="13" t="s">
        <v>266</v>
      </c>
      <c r="G62" s="13" t="s">
        <v>267</v>
      </c>
      <c r="H62" s="13" t="s">
        <v>268</v>
      </c>
      <c r="I62" s="13" t="s">
        <v>54</v>
      </c>
      <c r="J62" s="11"/>
      <c r="K62" s="12"/>
      <c r="L62" s="11"/>
      <c r="M62" s="11"/>
      <c r="N62" s="11"/>
    </row>
    <row r="63" customFormat="false" ht="22.35" hidden="false" customHeight="false" outlineLevel="0" collapsed="false">
      <c r="A63" s="10" t="n">
        <v>51</v>
      </c>
      <c r="B63" s="10" t="s">
        <v>269</v>
      </c>
      <c r="C63" s="10" t="s">
        <v>270</v>
      </c>
      <c r="D63" s="10" t="s">
        <v>35</v>
      </c>
      <c r="E63" s="10" t="s">
        <v>271</v>
      </c>
      <c r="F63" s="10" t="s">
        <v>272</v>
      </c>
      <c r="G63" s="10" t="s">
        <v>273</v>
      </c>
      <c r="H63" s="10" t="s">
        <v>274</v>
      </c>
      <c r="I63" s="10" t="s">
        <v>40</v>
      </c>
      <c r="J63" s="11"/>
      <c r="K63" s="12"/>
      <c r="L63" s="11"/>
      <c r="M63" s="11"/>
      <c r="N63" s="11"/>
    </row>
    <row r="64" customFormat="false" ht="22.35" hidden="false" customHeight="false" outlineLevel="0" collapsed="false">
      <c r="A64" s="13" t="n">
        <v>52</v>
      </c>
      <c r="B64" s="13" t="s">
        <v>269</v>
      </c>
      <c r="C64" s="13" t="s">
        <v>275</v>
      </c>
      <c r="D64" s="13" t="s">
        <v>35</v>
      </c>
      <c r="E64" s="13" t="s">
        <v>276</v>
      </c>
      <c r="F64" s="13" t="s">
        <v>277</v>
      </c>
      <c r="G64" s="13" t="s">
        <v>278</v>
      </c>
      <c r="H64" s="13" t="s">
        <v>279</v>
      </c>
      <c r="I64" s="13" t="s">
        <v>40</v>
      </c>
      <c r="J64" s="11"/>
      <c r="K64" s="12"/>
      <c r="L64" s="11"/>
      <c r="M64" s="11"/>
      <c r="N64" s="11"/>
    </row>
    <row r="65" customFormat="false" ht="22.35" hidden="false" customHeight="false" outlineLevel="0" collapsed="false">
      <c r="A65" s="10" t="n">
        <v>53</v>
      </c>
      <c r="B65" s="10" t="s">
        <v>269</v>
      </c>
      <c r="C65" s="10" t="s">
        <v>280</v>
      </c>
      <c r="D65" s="10" t="s">
        <v>35</v>
      </c>
      <c r="E65" s="10" t="s">
        <v>281</v>
      </c>
      <c r="F65" s="10" t="s">
        <v>282</v>
      </c>
      <c r="G65" s="10" t="s">
        <v>283</v>
      </c>
      <c r="H65" s="10" t="s">
        <v>284</v>
      </c>
      <c r="I65" s="10" t="s">
        <v>40</v>
      </c>
      <c r="J65" s="11"/>
      <c r="K65" s="12"/>
      <c r="L65" s="11"/>
      <c r="M65" s="11"/>
      <c r="N65" s="11"/>
    </row>
    <row r="66" customFormat="false" ht="22.35" hidden="false" customHeight="false" outlineLevel="0" collapsed="false">
      <c r="A66" s="13" t="n">
        <v>54</v>
      </c>
      <c r="B66" s="13" t="s">
        <v>269</v>
      </c>
      <c r="C66" s="13" t="s">
        <v>280</v>
      </c>
      <c r="D66" s="13" t="s">
        <v>109</v>
      </c>
      <c r="E66" s="13" t="s">
        <v>285</v>
      </c>
      <c r="F66" s="13" t="s">
        <v>286</v>
      </c>
      <c r="G66" s="13" t="s">
        <v>287</v>
      </c>
      <c r="H66" s="13" t="s">
        <v>288</v>
      </c>
      <c r="I66" s="13" t="s">
        <v>54</v>
      </c>
      <c r="J66" s="11"/>
      <c r="K66" s="12"/>
      <c r="L66" s="11"/>
      <c r="M66" s="11"/>
      <c r="N66" s="11"/>
    </row>
    <row r="67" customFormat="false" ht="22.35" hidden="false" customHeight="false" outlineLevel="0" collapsed="false">
      <c r="A67" s="10" t="n">
        <v>55</v>
      </c>
      <c r="B67" s="10" t="s">
        <v>269</v>
      </c>
      <c r="C67" s="10" t="s">
        <v>280</v>
      </c>
      <c r="D67" s="10" t="s">
        <v>35</v>
      </c>
      <c r="E67" s="10" t="s">
        <v>289</v>
      </c>
      <c r="F67" s="10" t="s">
        <v>290</v>
      </c>
      <c r="G67" s="10" t="s">
        <v>291</v>
      </c>
      <c r="H67" s="10" t="s">
        <v>292</v>
      </c>
      <c r="I67" s="10" t="s">
        <v>54</v>
      </c>
      <c r="J67" s="11"/>
      <c r="K67" s="12"/>
      <c r="L67" s="11"/>
      <c r="M67" s="11"/>
      <c r="N67" s="11"/>
    </row>
    <row r="68" customFormat="false" ht="22.35" hidden="false" customHeight="false" outlineLevel="0" collapsed="false">
      <c r="A68" s="13" t="n">
        <v>56</v>
      </c>
      <c r="B68" s="13" t="s">
        <v>269</v>
      </c>
      <c r="C68" s="13" t="s">
        <v>293</v>
      </c>
      <c r="D68" s="13" t="s">
        <v>35</v>
      </c>
      <c r="E68" s="13" t="s">
        <v>294</v>
      </c>
      <c r="F68" s="13" t="s">
        <v>295</v>
      </c>
      <c r="G68" s="13" t="s">
        <v>296</v>
      </c>
      <c r="H68" s="13" t="s">
        <v>297</v>
      </c>
      <c r="I68" s="13" t="s">
        <v>54</v>
      </c>
      <c r="J68" s="11"/>
      <c r="K68" s="12"/>
      <c r="L68" s="11"/>
      <c r="M68" s="11"/>
      <c r="N68" s="11"/>
    </row>
    <row r="69" customFormat="false" ht="22.35" hidden="false" customHeight="false" outlineLevel="0" collapsed="false">
      <c r="A69" s="10" t="n">
        <v>57</v>
      </c>
      <c r="B69" s="10" t="s">
        <v>269</v>
      </c>
      <c r="C69" s="10" t="s">
        <v>298</v>
      </c>
      <c r="D69" s="10" t="s">
        <v>35</v>
      </c>
      <c r="E69" s="10" t="s">
        <v>299</v>
      </c>
      <c r="F69" s="10" t="s">
        <v>300</v>
      </c>
      <c r="G69" s="10" t="s">
        <v>301</v>
      </c>
      <c r="H69" s="10" t="s">
        <v>302</v>
      </c>
      <c r="I69" s="10" t="s">
        <v>54</v>
      </c>
      <c r="J69" s="11"/>
      <c r="K69" s="12"/>
      <c r="L69" s="11"/>
      <c r="M69" s="11"/>
      <c r="N69" s="11"/>
    </row>
    <row r="70" customFormat="false" ht="22.35" hidden="false" customHeight="false" outlineLevel="0" collapsed="false">
      <c r="A70" s="13" t="n">
        <v>58</v>
      </c>
      <c r="B70" s="13" t="s">
        <v>269</v>
      </c>
      <c r="C70" s="13" t="s">
        <v>303</v>
      </c>
      <c r="D70" s="13" t="s">
        <v>35</v>
      </c>
      <c r="E70" s="13" t="s">
        <v>304</v>
      </c>
      <c r="F70" s="13" t="s">
        <v>305</v>
      </c>
      <c r="G70" s="13" t="s">
        <v>306</v>
      </c>
      <c r="H70" s="13" t="s">
        <v>307</v>
      </c>
      <c r="I70" s="13" t="s">
        <v>144</v>
      </c>
      <c r="J70" s="11"/>
      <c r="K70" s="12"/>
      <c r="L70" s="11"/>
      <c r="M70" s="11"/>
      <c r="N70" s="11"/>
    </row>
    <row r="71" customFormat="false" ht="22.35" hidden="false" customHeight="false" outlineLevel="0" collapsed="false">
      <c r="A71" s="10" t="n">
        <v>59</v>
      </c>
      <c r="B71" s="10" t="s">
        <v>269</v>
      </c>
      <c r="C71" s="10" t="s">
        <v>308</v>
      </c>
      <c r="D71" s="10" t="s">
        <v>35</v>
      </c>
      <c r="E71" s="10" t="s">
        <v>309</v>
      </c>
      <c r="F71" s="10" t="s">
        <v>310</v>
      </c>
      <c r="G71" s="10" t="s">
        <v>311</v>
      </c>
      <c r="H71" s="10" t="s">
        <v>312</v>
      </c>
      <c r="I71" s="10" t="s">
        <v>144</v>
      </c>
      <c r="J71" s="11"/>
      <c r="K71" s="12"/>
      <c r="L71" s="11"/>
      <c r="M71" s="11"/>
      <c r="N71" s="11"/>
    </row>
    <row r="72" customFormat="false" ht="22.35" hidden="false" customHeight="false" outlineLevel="0" collapsed="false">
      <c r="A72" s="13" t="n">
        <v>60</v>
      </c>
      <c r="B72" s="13" t="s">
        <v>313</v>
      </c>
      <c r="C72" s="13" t="s">
        <v>314</v>
      </c>
      <c r="D72" s="13" t="s">
        <v>35</v>
      </c>
      <c r="E72" s="13" t="s">
        <v>315</v>
      </c>
      <c r="F72" s="13" t="s">
        <v>246</v>
      </c>
      <c r="G72" s="13" t="s">
        <v>316</v>
      </c>
      <c r="H72" s="13" t="s">
        <v>317</v>
      </c>
      <c r="I72" s="13" t="s">
        <v>40</v>
      </c>
      <c r="J72" s="11"/>
      <c r="K72" s="12"/>
      <c r="L72" s="11"/>
      <c r="M72" s="11"/>
      <c r="N72" s="11"/>
    </row>
    <row r="73" customFormat="false" ht="32.8" hidden="false" customHeight="false" outlineLevel="0" collapsed="false">
      <c r="A73" s="10" t="n">
        <v>61</v>
      </c>
      <c r="B73" s="10" t="s">
        <v>313</v>
      </c>
      <c r="C73" s="10" t="s">
        <v>318</v>
      </c>
      <c r="D73" s="10" t="s">
        <v>35</v>
      </c>
      <c r="E73" s="10" t="s">
        <v>319</v>
      </c>
      <c r="F73" s="10" t="s">
        <v>320</v>
      </c>
      <c r="G73" s="10" t="s">
        <v>321</v>
      </c>
      <c r="H73" s="10" t="s">
        <v>322</v>
      </c>
      <c r="I73" s="10" t="s">
        <v>40</v>
      </c>
      <c r="J73" s="11"/>
      <c r="K73" s="12"/>
      <c r="L73" s="11"/>
      <c r="M73" s="11"/>
      <c r="N73" s="11"/>
    </row>
    <row r="74" customFormat="false" ht="22.35" hidden="false" customHeight="false" outlineLevel="0" collapsed="false">
      <c r="A74" s="13" t="n">
        <v>62</v>
      </c>
      <c r="B74" s="13" t="s">
        <v>313</v>
      </c>
      <c r="C74" s="13" t="s">
        <v>323</v>
      </c>
      <c r="D74" s="13" t="s">
        <v>35</v>
      </c>
      <c r="E74" s="13" t="s">
        <v>324</v>
      </c>
      <c r="F74" s="13" t="s">
        <v>325</v>
      </c>
      <c r="G74" s="13" t="s">
        <v>326</v>
      </c>
      <c r="H74" s="13" t="s">
        <v>327</v>
      </c>
      <c r="I74" s="13" t="s">
        <v>40</v>
      </c>
      <c r="J74" s="11"/>
      <c r="K74" s="12"/>
      <c r="L74" s="11"/>
      <c r="M74" s="11"/>
      <c r="N74" s="11"/>
    </row>
    <row r="75" customFormat="false" ht="15" hidden="false" customHeight="false" outlineLevel="0" collapsed="false">
      <c r="A75" s="10" t="n">
        <v>63</v>
      </c>
      <c r="B75" s="10" t="s">
        <v>313</v>
      </c>
      <c r="C75" s="10" t="s">
        <v>328</v>
      </c>
      <c r="D75" s="10" t="s">
        <v>35</v>
      </c>
      <c r="E75" s="10" t="s">
        <v>329</v>
      </c>
      <c r="F75" s="10" t="s">
        <v>330</v>
      </c>
      <c r="G75" s="10" t="s">
        <v>331</v>
      </c>
      <c r="H75" s="10" t="s">
        <v>332</v>
      </c>
      <c r="I75" s="10" t="s">
        <v>54</v>
      </c>
      <c r="J75" s="11"/>
      <c r="K75" s="12"/>
      <c r="L75" s="11"/>
      <c r="M75" s="11"/>
      <c r="N75" s="11"/>
    </row>
    <row r="76" customFormat="false" ht="22.35" hidden="false" customHeight="false" outlineLevel="0" collapsed="false">
      <c r="A76" s="13" t="n">
        <v>64</v>
      </c>
      <c r="B76" s="13" t="s">
        <v>313</v>
      </c>
      <c r="C76" s="13" t="s">
        <v>333</v>
      </c>
      <c r="D76" s="13" t="s">
        <v>35</v>
      </c>
      <c r="E76" s="13" t="s">
        <v>334</v>
      </c>
      <c r="F76" s="13" t="s">
        <v>335</v>
      </c>
      <c r="G76" s="13" t="s">
        <v>336</v>
      </c>
      <c r="H76" s="13" t="s">
        <v>337</v>
      </c>
      <c r="I76" s="13" t="s">
        <v>54</v>
      </c>
      <c r="J76" s="11"/>
      <c r="K76" s="12"/>
      <c r="L76" s="11"/>
      <c r="M76" s="11"/>
      <c r="N76" s="11"/>
    </row>
    <row r="77" customFormat="false" ht="32.8" hidden="false" customHeight="false" outlineLevel="0" collapsed="false">
      <c r="A77" s="10" t="n">
        <v>65</v>
      </c>
      <c r="B77" s="10" t="s">
        <v>313</v>
      </c>
      <c r="C77" s="10" t="s">
        <v>338</v>
      </c>
      <c r="D77" s="10" t="s">
        <v>35</v>
      </c>
      <c r="E77" s="10" t="s">
        <v>339</v>
      </c>
      <c r="F77" s="10" t="s">
        <v>340</v>
      </c>
      <c r="G77" s="10" t="s">
        <v>341</v>
      </c>
      <c r="H77" s="10" t="s">
        <v>342</v>
      </c>
      <c r="I77" s="10" t="s">
        <v>144</v>
      </c>
      <c r="J77" s="11"/>
      <c r="K77" s="12"/>
      <c r="L77" s="11"/>
      <c r="M77" s="11"/>
      <c r="N77" s="11"/>
    </row>
    <row r="78" customFormat="false" ht="15" hidden="false" customHeight="false" outlineLevel="0" collapsed="false">
      <c r="A78" s="13" t="n">
        <v>66</v>
      </c>
      <c r="B78" s="13" t="s">
        <v>313</v>
      </c>
      <c r="C78" s="13" t="s">
        <v>343</v>
      </c>
      <c r="D78" s="13" t="s">
        <v>35</v>
      </c>
      <c r="E78" s="13" t="s">
        <v>344</v>
      </c>
      <c r="F78" s="13" t="s">
        <v>345</v>
      </c>
      <c r="G78" s="13" t="s">
        <v>346</v>
      </c>
      <c r="H78" s="13" t="s">
        <v>347</v>
      </c>
      <c r="I78" s="13" t="s">
        <v>54</v>
      </c>
      <c r="J78" s="11"/>
      <c r="K78" s="12"/>
      <c r="L78" s="11"/>
      <c r="M78" s="11"/>
      <c r="N78" s="11"/>
    </row>
    <row r="79" customFormat="false" ht="15" hidden="false" customHeight="false" outlineLevel="0" collapsed="false">
      <c r="A79" s="10" t="n">
        <v>67</v>
      </c>
      <c r="B79" s="10" t="s">
        <v>348</v>
      </c>
      <c r="C79" s="10" t="s">
        <v>349</v>
      </c>
      <c r="D79" s="10" t="s">
        <v>35</v>
      </c>
      <c r="E79" s="10" t="s">
        <v>350</v>
      </c>
      <c r="F79" s="10" t="s">
        <v>351</v>
      </c>
      <c r="G79" s="10" t="s">
        <v>352</v>
      </c>
      <c r="H79" s="10" t="s">
        <v>353</v>
      </c>
      <c r="I79" s="10" t="s">
        <v>40</v>
      </c>
      <c r="J79" s="11"/>
      <c r="K79" s="12"/>
      <c r="L79" s="11"/>
      <c r="M79" s="11"/>
      <c r="N79" s="11"/>
    </row>
    <row r="80" customFormat="false" ht="15" hidden="false" customHeight="false" outlineLevel="0" collapsed="false">
      <c r="A80" s="13" t="n">
        <v>68</v>
      </c>
      <c r="B80" s="13" t="s">
        <v>348</v>
      </c>
      <c r="C80" s="13" t="s">
        <v>349</v>
      </c>
      <c r="D80" s="13" t="s">
        <v>109</v>
      </c>
      <c r="E80" s="13" t="s">
        <v>354</v>
      </c>
      <c r="F80" s="13" t="s">
        <v>111</v>
      </c>
      <c r="G80" s="13" t="s">
        <v>355</v>
      </c>
      <c r="H80" s="13" t="s">
        <v>356</v>
      </c>
      <c r="I80" s="13" t="s">
        <v>54</v>
      </c>
      <c r="J80" s="11"/>
      <c r="K80" s="12"/>
      <c r="L80" s="11"/>
      <c r="M80" s="11"/>
      <c r="N80" s="11"/>
    </row>
    <row r="81" customFormat="false" ht="15" hidden="false" customHeight="false" outlineLevel="0" collapsed="false">
      <c r="A81" s="10" t="n">
        <v>69</v>
      </c>
      <c r="B81" s="10" t="s">
        <v>348</v>
      </c>
      <c r="C81" s="10" t="s">
        <v>357</v>
      </c>
      <c r="D81" s="10" t="s">
        <v>35</v>
      </c>
      <c r="E81" s="10" t="s">
        <v>358</v>
      </c>
      <c r="F81" s="10" t="s">
        <v>120</v>
      </c>
      <c r="G81" s="10" t="s">
        <v>359</v>
      </c>
      <c r="H81" s="10" t="s">
        <v>360</v>
      </c>
      <c r="I81" s="10" t="s">
        <v>54</v>
      </c>
      <c r="J81" s="11"/>
      <c r="K81" s="12"/>
      <c r="L81" s="11"/>
      <c r="M81" s="11"/>
      <c r="N81" s="11"/>
    </row>
    <row r="82" customFormat="false" ht="15" hidden="false" customHeight="false" outlineLevel="0" collapsed="false">
      <c r="A82" s="13" t="n">
        <v>70</v>
      </c>
      <c r="B82" s="13" t="s">
        <v>348</v>
      </c>
      <c r="C82" s="13" t="s">
        <v>361</v>
      </c>
      <c r="D82" s="13" t="s">
        <v>109</v>
      </c>
      <c r="E82" s="13" t="s">
        <v>362</v>
      </c>
      <c r="F82" s="13" t="s">
        <v>363</v>
      </c>
      <c r="G82" s="13" t="s">
        <v>364</v>
      </c>
      <c r="H82" s="13" t="s">
        <v>365</v>
      </c>
      <c r="I82" s="13" t="s">
        <v>144</v>
      </c>
      <c r="J82" s="11"/>
      <c r="K82" s="12"/>
      <c r="L82" s="11"/>
      <c r="M82" s="11"/>
      <c r="N82" s="11"/>
    </row>
    <row r="83" customFormat="false" ht="15" hidden="false" customHeight="false" outlineLevel="0" collapsed="false">
      <c r="A83" s="10" t="n">
        <v>71</v>
      </c>
      <c r="B83" s="10" t="s">
        <v>348</v>
      </c>
      <c r="C83" s="10" t="s">
        <v>366</v>
      </c>
      <c r="D83" s="10" t="s">
        <v>35</v>
      </c>
      <c r="E83" s="10" t="s">
        <v>367</v>
      </c>
      <c r="F83" s="10" t="s">
        <v>368</v>
      </c>
      <c r="G83" s="10" t="s">
        <v>369</v>
      </c>
      <c r="H83" s="10" t="s">
        <v>370</v>
      </c>
      <c r="I83" s="10" t="s">
        <v>144</v>
      </c>
      <c r="J83" s="11"/>
      <c r="K83" s="12"/>
      <c r="L83" s="11"/>
      <c r="M83" s="11"/>
      <c r="N83" s="11"/>
    </row>
    <row r="84" customFormat="false" ht="43.25" hidden="false" customHeight="false" outlineLevel="0" collapsed="false">
      <c r="A84" s="13" t="n">
        <v>72</v>
      </c>
      <c r="B84" s="13" t="s">
        <v>371</v>
      </c>
      <c r="C84" s="13" t="s">
        <v>372</v>
      </c>
      <c r="D84" s="13" t="s">
        <v>35</v>
      </c>
      <c r="E84" s="13" t="s">
        <v>373</v>
      </c>
      <c r="F84" s="13" t="s">
        <v>374</v>
      </c>
      <c r="G84" s="13" t="s">
        <v>375</v>
      </c>
      <c r="H84" s="13" t="s">
        <v>376</v>
      </c>
      <c r="I84" s="13" t="s">
        <v>40</v>
      </c>
      <c r="J84" s="11"/>
      <c r="K84" s="12"/>
      <c r="L84" s="11"/>
      <c r="M84" s="11"/>
      <c r="N84" s="11"/>
    </row>
    <row r="85" customFormat="false" ht="15" hidden="false" customHeight="false" outlineLevel="0" collapsed="false">
      <c r="A85" s="10" t="n">
        <v>73</v>
      </c>
      <c r="B85" s="10" t="s">
        <v>371</v>
      </c>
      <c r="C85" s="10" t="s">
        <v>372</v>
      </c>
      <c r="D85" s="10" t="s">
        <v>41</v>
      </c>
      <c r="E85" s="10" t="s">
        <v>377</v>
      </c>
      <c r="F85" s="10" t="s">
        <v>378</v>
      </c>
      <c r="G85" s="10" t="s">
        <v>379</v>
      </c>
      <c r="H85" s="10" t="s">
        <v>380</v>
      </c>
      <c r="I85" s="10" t="s">
        <v>40</v>
      </c>
      <c r="J85" s="11"/>
      <c r="K85" s="12"/>
      <c r="L85" s="11"/>
      <c r="M85" s="11"/>
      <c r="N85" s="11"/>
    </row>
    <row r="86" customFormat="false" ht="15" hidden="false" customHeight="false" outlineLevel="0" collapsed="false">
      <c r="A86" s="13" t="n">
        <v>74</v>
      </c>
      <c r="B86" s="13" t="s">
        <v>371</v>
      </c>
      <c r="C86" s="13" t="s">
        <v>381</v>
      </c>
      <c r="D86" s="13" t="s">
        <v>35</v>
      </c>
      <c r="E86" s="13" t="s">
        <v>382</v>
      </c>
      <c r="F86" s="13" t="s">
        <v>204</v>
      </c>
      <c r="G86" s="13" t="s">
        <v>383</v>
      </c>
      <c r="H86" s="13" t="s">
        <v>384</v>
      </c>
      <c r="I86" s="13" t="s">
        <v>54</v>
      </c>
      <c r="J86" s="11"/>
      <c r="K86" s="12"/>
      <c r="L86" s="11"/>
      <c r="M86" s="11"/>
      <c r="N86" s="11"/>
    </row>
    <row r="87" customFormat="false" ht="15" hidden="false" customHeight="false" outlineLevel="0" collapsed="false">
      <c r="A87" s="10" t="n">
        <v>75</v>
      </c>
      <c r="B87" s="10" t="s">
        <v>371</v>
      </c>
      <c r="C87" s="10" t="s">
        <v>385</v>
      </c>
      <c r="D87" s="10" t="s">
        <v>35</v>
      </c>
      <c r="E87" s="10" t="s">
        <v>386</v>
      </c>
      <c r="F87" s="10" t="s">
        <v>246</v>
      </c>
      <c r="G87" s="10" t="s">
        <v>387</v>
      </c>
      <c r="H87" s="10" t="s">
        <v>388</v>
      </c>
      <c r="I87" s="10" t="s">
        <v>144</v>
      </c>
      <c r="J87" s="11"/>
      <c r="K87" s="12"/>
      <c r="L87" s="11"/>
      <c r="M87" s="11"/>
      <c r="N87" s="11"/>
    </row>
    <row r="88" customFormat="false" ht="15" hidden="false" customHeight="false" outlineLevel="0" collapsed="false">
      <c r="A88" s="13" t="n">
        <v>76</v>
      </c>
      <c r="B88" s="13" t="s">
        <v>389</v>
      </c>
      <c r="C88" s="13" t="s">
        <v>390</v>
      </c>
      <c r="D88" s="13" t="s">
        <v>35</v>
      </c>
      <c r="E88" s="13" t="s">
        <v>391</v>
      </c>
      <c r="F88" s="13" t="s">
        <v>392</v>
      </c>
      <c r="G88" s="13" t="s">
        <v>393</v>
      </c>
      <c r="H88" s="13" t="s">
        <v>394</v>
      </c>
      <c r="I88" s="13" t="s">
        <v>144</v>
      </c>
      <c r="J88" s="11"/>
      <c r="K88" s="12"/>
      <c r="L88" s="11"/>
      <c r="M88" s="11"/>
      <c r="N88" s="11"/>
    </row>
    <row r="89" customFormat="false" ht="22.35" hidden="false" customHeight="false" outlineLevel="0" collapsed="false">
      <c r="A89" s="10" t="n">
        <v>77</v>
      </c>
      <c r="B89" s="10" t="s">
        <v>395</v>
      </c>
      <c r="C89" s="10" t="s">
        <v>396</v>
      </c>
      <c r="D89" s="10" t="s">
        <v>35</v>
      </c>
      <c r="E89" s="10" t="s">
        <v>397</v>
      </c>
      <c r="F89" s="10" t="s">
        <v>398</v>
      </c>
      <c r="G89" s="10" t="s">
        <v>399</v>
      </c>
      <c r="H89" s="10" t="s">
        <v>400</v>
      </c>
      <c r="I89" s="10" t="s">
        <v>54</v>
      </c>
      <c r="J89" s="11"/>
      <c r="K89" s="12"/>
      <c r="L89" s="11"/>
      <c r="M89" s="11"/>
      <c r="N89" s="11"/>
    </row>
    <row r="90" customFormat="false" ht="15" hidden="false" customHeight="false" outlineLevel="0" collapsed="false">
      <c r="A90" s="13" t="n">
        <v>78</v>
      </c>
      <c r="B90" s="13" t="s">
        <v>401</v>
      </c>
      <c r="C90" s="13" t="s">
        <v>402</v>
      </c>
      <c r="D90" s="13" t="s">
        <v>35</v>
      </c>
      <c r="E90" s="13" t="s">
        <v>403</v>
      </c>
      <c r="F90" s="13" t="s">
        <v>404</v>
      </c>
      <c r="G90" s="13" t="s">
        <v>405</v>
      </c>
      <c r="H90" s="13" t="s">
        <v>406</v>
      </c>
      <c r="I90" s="13" t="s">
        <v>54</v>
      </c>
      <c r="J90" s="11"/>
      <c r="K90" s="12"/>
      <c r="L90" s="11"/>
      <c r="M90" s="11"/>
      <c r="N90" s="11"/>
    </row>
    <row r="91" customFormat="false" ht="22.35" hidden="false" customHeight="false" outlineLevel="0" collapsed="false">
      <c r="A91" s="10" t="n">
        <v>79</v>
      </c>
      <c r="B91" s="10" t="s">
        <v>401</v>
      </c>
      <c r="C91" s="10" t="s">
        <v>402</v>
      </c>
      <c r="D91" s="10" t="s">
        <v>35</v>
      </c>
      <c r="E91" s="10" t="s">
        <v>407</v>
      </c>
      <c r="F91" s="10" t="s">
        <v>408</v>
      </c>
      <c r="G91" s="10" t="s">
        <v>409</v>
      </c>
      <c r="H91" s="10" t="s">
        <v>410</v>
      </c>
      <c r="I91" s="10" t="s">
        <v>40</v>
      </c>
      <c r="J91" s="11"/>
      <c r="K91" s="12"/>
      <c r="L91" s="11"/>
      <c r="M91" s="11"/>
      <c r="N91" s="11"/>
    </row>
    <row r="92" customFormat="false" ht="15" hidden="false" customHeight="false" outlineLevel="0" collapsed="false">
      <c r="A92" s="13" t="n">
        <v>80</v>
      </c>
      <c r="B92" s="13" t="s">
        <v>401</v>
      </c>
      <c r="C92" s="13" t="s">
        <v>402</v>
      </c>
      <c r="D92" s="13" t="s">
        <v>35</v>
      </c>
      <c r="E92" s="13" t="s">
        <v>411</v>
      </c>
      <c r="F92" s="13" t="s">
        <v>412</v>
      </c>
      <c r="G92" s="13" t="s">
        <v>185</v>
      </c>
      <c r="H92" s="13" t="s">
        <v>413</v>
      </c>
      <c r="I92" s="13" t="s">
        <v>40</v>
      </c>
      <c r="J92" s="11"/>
      <c r="K92" s="12"/>
      <c r="L92" s="11"/>
      <c r="M92" s="11"/>
      <c r="N92" s="11"/>
    </row>
    <row r="93" customFormat="false" ht="22.35" hidden="false" customHeight="false" outlineLevel="0" collapsed="false">
      <c r="A93" s="10" t="n">
        <v>81</v>
      </c>
      <c r="B93" s="10" t="s">
        <v>401</v>
      </c>
      <c r="C93" s="10" t="s">
        <v>402</v>
      </c>
      <c r="D93" s="10" t="s">
        <v>35</v>
      </c>
      <c r="E93" s="10" t="s">
        <v>414</v>
      </c>
      <c r="F93" s="10" t="s">
        <v>415</v>
      </c>
      <c r="G93" s="10" t="s">
        <v>416</v>
      </c>
      <c r="H93" s="10" t="s">
        <v>417</v>
      </c>
      <c r="I93" s="10" t="s">
        <v>40</v>
      </c>
      <c r="J93" s="11"/>
      <c r="K93" s="12"/>
      <c r="L93" s="11"/>
      <c r="M93" s="11"/>
      <c r="N93" s="11"/>
    </row>
    <row r="94" customFormat="false" ht="22.35" hidden="false" customHeight="false" outlineLevel="0" collapsed="false">
      <c r="A94" s="13" t="n">
        <v>82</v>
      </c>
      <c r="B94" s="13" t="s">
        <v>401</v>
      </c>
      <c r="C94" s="13" t="s">
        <v>402</v>
      </c>
      <c r="D94" s="13" t="s">
        <v>59</v>
      </c>
      <c r="E94" s="13" t="s">
        <v>418</v>
      </c>
      <c r="F94" s="13" t="s">
        <v>419</v>
      </c>
      <c r="G94" s="13" t="s">
        <v>420</v>
      </c>
      <c r="H94" s="13" t="s">
        <v>421</v>
      </c>
      <c r="I94" s="13" t="s">
        <v>54</v>
      </c>
      <c r="J94" s="11"/>
      <c r="K94" s="12"/>
      <c r="L94" s="11"/>
      <c r="M94" s="11"/>
      <c r="N94" s="11"/>
    </row>
    <row r="95" customFormat="false" ht="15" hidden="false" customHeight="false" outlineLevel="0" collapsed="false">
      <c r="A95" s="10" t="n">
        <v>83</v>
      </c>
      <c r="B95" s="10" t="s">
        <v>401</v>
      </c>
      <c r="C95" s="10" t="s">
        <v>402</v>
      </c>
      <c r="D95" s="10" t="s">
        <v>35</v>
      </c>
      <c r="E95" s="10" t="s">
        <v>422</v>
      </c>
      <c r="F95" s="10" t="s">
        <v>415</v>
      </c>
      <c r="G95" s="10" t="s">
        <v>423</v>
      </c>
      <c r="H95" s="10" t="s">
        <v>424</v>
      </c>
      <c r="I95" s="10" t="s">
        <v>40</v>
      </c>
      <c r="J95" s="11"/>
      <c r="K95" s="12"/>
      <c r="L95" s="11"/>
      <c r="M95" s="11"/>
      <c r="N95" s="11"/>
    </row>
    <row r="96" customFormat="false" ht="15" hidden="false" customHeight="false" outlineLevel="0" collapsed="false">
      <c r="A96" s="13" t="n">
        <v>84</v>
      </c>
      <c r="B96" s="13" t="s">
        <v>401</v>
      </c>
      <c r="C96" s="13" t="s">
        <v>402</v>
      </c>
      <c r="D96" s="13" t="s">
        <v>35</v>
      </c>
      <c r="E96" s="13" t="s">
        <v>425</v>
      </c>
      <c r="F96" s="13" t="s">
        <v>426</v>
      </c>
      <c r="G96" s="13" t="s">
        <v>427</v>
      </c>
      <c r="H96" s="13" t="s">
        <v>428</v>
      </c>
      <c r="I96" s="13" t="s">
        <v>54</v>
      </c>
      <c r="J96" s="11"/>
      <c r="K96" s="12"/>
      <c r="L96" s="11"/>
      <c r="M96" s="11"/>
      <c r="N96" s="11"/>
    </row>
    <row r="97" customFormat="false" ht="22.35" hidden="false" customHeight="false" outlineLevel="0" collapsed="false">
      <c r="A97" s="10" t="n">
        <v>85</v>
      </c>
      <c r="B97" s="10" t="s">
        <v>429</v>
      </c>
      <c r="C97" s="10" t="s">
        <v>430</v>
      </c>
      <c r="D97" s="10" t="s">
        <v>35</v>
      </c>
      <c r="E97" s="10" t="s">
        <v>431</v>
      </c>
      <c r="F97" s="10" t="s">
        <v>96</v>
      </c>
      <c r="G97" s="10" t="s">
        <v>432</v>
      </c>
      <c r="H97" s="10" t="s">
        <v>433</v>
      </c>
      <c r="I97" s="10" t="s">
        <v>40</v>
      </c>
      <c r="J97" s="11"/>
      <c r="K97" s="12"/>
      <c r="L97" s="11"/>
      <c r="M97" s="11"/>
      <c r="N97" s="11"/>
    </row>
    <row r="98" customFormat="false" ht="15" hidden="false" customHeight="false" outlineLevel="0" collapsed="false">
      <c r="A98" s="13" t="n">
        <v>86</v>
      </c>
      <c r="B98" s="13" t="s">
        <v>429</v>
      </c>
      <c r="C98" s="13" t="s">
        <v>430</v>
      </c>
      <c r="D98" s="13" t="s">
        <v>35</v>
      </c>
      <c r="E98" s="13" t="s">
        <v>434</v>
      </c>
      <c r="F98" s="13" t="s">
        <v>435</v>
      </c>
      <c r="G98" s="13" t="s">
        <v>436</v>
      </c>
      <c r="H98" s="13" t="s">
        <v>437</v>
      </c>
      <c r="I98" s="13" t="s">
        <v>54</v>
      </c>
      <c r="J98" s="11"/>
      <c r="K98" s="12"/>
      <c r="L98" s="11"/>
      <c r="M98" s="11"/>
      <c r="N98" s="11"/>
    </row>
    <row r="99" customFormat="false" ht="22.35" hidden="false" customHeight="false" outlineLevel="0" collapsed="false">
      <c r="A99" s="10" t="n">
        <v>87</v>
      </c>
      <c r="B99" s="10" t="s">
        <v>429</v>
      </c>
      <c r="C99" s="10" t="s">
        <v>438</v>
      </c>
      <c r="D99" s="10" t="s">
        <v>35</v>
      </c>
      <c r="E99" s="10" t="s">
        <v>439</v>
      </c>
      <c r="F99" s="10" t="s">
        <v>440</v>
      </c>
      <c r="G99" s="10" t="s">
        <v>441</v>
      </c>
      <c r="H99" s="10" t="s">
        <v>442</v>
      </c>
      <c r="I99" s="10" t="s">
        <v>54</v>
      </c>
      <c r="J99" s="11"/>
      <c r="K99" s="12"/>
      <c r="L99" s="11"/>
      <c r="M99" s="11"/>
      <c r="N99" s="11"/>
    </row>
    <row r="100" customFormat="false" ht="15" hidden="false" customHeight="false" outlineLevel="0" collapsed="false">
      <c r="A100" s="13" t="n">
        <v>88</v>
      </c>
      <c r="B100" s="13" t="s">
        <v>429</v>
      </c>
      <c r="C100" s="13" t="s">
        <v>443</v>
      </c>
      <c r="D100" s="13" t="s">
        <v>35</v>
      </c>
      <c r="E100" s="13" t="s">
        <v>444</v>
      </c>
      <c r="F100" s="13" t="s">
        <v>96</v>
      </c>
      <c r="G100" s="13" t="s">
        <v>445</v>
      </c>
      <c r="H100" s="13" t="s">
        <v>446</v>
      </c>
      <c r="I100" s="13" t="s">
        <v>54</v>
      </c>
      <c r="J100" s="11"/>
      <c r="K100" s="12"/>
      <c r="L100" s="11"/>
      <c r="M100" s="11"/>
      <c r="N100" s="11"/>
    </row>
    <row r="101" customFormat="false" ht="32.8" hidden="false" customHeight="false" outlineLevel="0" collapsed="false">
      <c r="A101" s="10" t="n">
        <v>89</v>
      </c>
      <c r="B101" s="10" t="s">
        <v>114</v>
      </c>
      <c r="C101" s="10" t="s">
        <v>447</v>
      </c>
      <c r="D101" s="10" t="s">
        <v>448</v>
      </c>
      <c r="E101" s="10" t="s">
        <v>449</v>
      </c>
      <c r="F101" s="10" t="s">
        <v>450</v>
      </c>
      <c r="G101" s="10" t="s">
        <v>451</v>
      </c>
      <c r="H101" s="10" t="s">
        <v>452</v>
      </c>
      <c r="I101" s="10" t="s">
        <v>54</v>
      </c>
      <c r="J101" s="11"/>
      <c r="K101" s="12"/>
      <c r="L101" s="11"/>
      <c r="M101" s="11"/>
      <c r="N101" s="11"/>
    </row>
    <row r="102" customFormat="false" ht="32.8" hidden="false" customHeight="false" outlineLevel="0" collapsed="false">
      <c r="A102" s="13" t="n">
        <v>90</v>
      </c>
      <c r="B102" s="13" t="s">
        <v>114</v>
      </c>
      <c r="C102" s="13" t="s">
        <v>115</v>
      </c>
      <c r="D102" s="13" t="s">
        <v>448</v>
      </c>
      <c r="E102" s="13" t="s">
        <v>449</v>
      </c>
      <c r="F102" s="13" t="s">
        <v>450</v>
      </c>
      <c r="G102" s="13" t="s">
        <v>453</v>
      </c>
      <c r="H102" s="13" t="s">
        <v>452</v>
      </c>
      <c r="I102" s="13" t="s">
        <v>54</v>
      </c>
      <c r="J102" s="11"/>
      <c r="K102" s="12"/>
      <c r="L102" s="11"/>
      <c r="M102" s="11"/>
      <c r="N102" s="11"/>
    </row>
    <row r="103" customFormat="false" ht="32.8" hidden="false" customHeight="false" outlineLevel="0" collapsed="false">
      <c r="A103" s="10" t="n">
        <v>91</v>
      </c>
      <c r="B103" s="10" t="s">
        <v>114</v>
      </c>
      <c r="C103" s="10" t="s">
        <v>454</v>
      </c>
      <c r="D103" s="10" t="s">
        <v>448</v>
      </c>
      <c r="E103" s="10" t="s">
        <v>449</v>
      </c>
      <c r="F103" s="10" t="s">
        <v>450</v>
      </c>
      <c r="G103" s="10" t="s">
        <v>455</v>
      </c>
      <c r="H103" s="10" t="s">
        <v>452</v>
      </c>
      <c r="I103" s="10" t="s">
        <v>54</v>
      </c>
      <c r="J103" s="11"/>
      <c r="K103" s="12"/>
      <c r="L103" s="11"/>
      <c r="M103" s="11"/>
      <c r="N103" s="11"/>
    </row>
    <row r="104" customFormat="false" ht="32.8" hidden="false" customHeight="false" outlineLevel="0" collapsed="false">
      <c r="A104" s="13" t="n">
        <v>92</v>
      </c>
      <c r="B104" s="13" t="s">
        <v>114</v>
      </c>
      <c r="C104" s="13" t="s">
        <v>168</v>
      </c>
      <c r="D104" s="13" t="s">
        <v>448</v>
      </c>
      <c r="E104" s="13" t="s">
        <v>449</v>
      </c>
      <c r="F104" s="13" t="s">
        <v>450</v>
      </c>
      <c r="G104" s="13" t="s">
        <v>456</v>
      </c>
      <c r="H104" s="13" t="s">
        <v>452</v>
      </c>
      <c r="I104" s="13" t="s">
        <v>54</v>
      </c>
      <c r="J104" s="11"/>
      <c r="K104" s="12"/>
      <c r="L104" s="11"/>
      <c r="M104" s="11"/>
      <c r="N104" s="11"/>
    </row>
    <row r="105" customFormat="false" ht="32.8" hidden="false" customHeight="false" outlineLevel="0" collapsed="false">
      <c r="A105" s="10" t="n">
        <v>93</v>
      </c>
      <c r="B105" s="10" t="s">
        <v>114</v>
      </c>
      <c r="C105" s="10" t="s">
        <v>120</v>
      </c>
      <c r="D105" s="10" t="s">
        <v>448</v>
      </c>
      <c r="E105" s="10" t="s">
        <v>449</v>
      </c>
      <c r="F105" s="10" t="s">
        <v>450</v>
      </c>
      <c r="G105" s="10" t="s">
        <v>457</v>
      </c>
      <c r="H105" s="10" t="s">
        <v>452</v>
      </c>
      <c r="I105" s="10" t="s">
        <v>54</v>
      </c>
      <c r="J105" s="11"/>
      <c r="K105" s="12"/>
      <c r="L105" s="11"/>
      <c r="M105" s="11"/>
      <c r="N105" s="11"/>
    </row>
    <row r="106" customFormat="false" ht="32.8" hidden="false" customHeight="false" outlineLevel="0" collapsed="false">
      <c r="A106" s="13" t="n">
        <v>94</v>
      </c>
      <c r="B106" s="13" t="s">
        <v>114</v>
      </c>
      <c r="C106" s="13" t="s">
        <v>173</v>
      </c>
      <c r="D106" s="13" t="s">
        <v>448</v>
      </c>
      <c r="E106" s="13" t="s">
        <v>449</v>
      </c>
      <c r="F106" s="13" t="s">
        <v>450</v>
      </c>
      <c r="G106" s="13" t="s">
        <v>458</v>
      </c>
      <c r="H106" s="13" t="s">
        <v>452</v>
      </c>
      <c r="I106" s="13" t="s">
        <v>54</v>
      </c>
      <c r="J106" s="11"/>
      <c r="K106" s="12"/>
      <c r="L106" s="11"/>
      <c r="M106" s="11"/>
      <c r="N106" s="11"/>
    </row>
    <row r="107" customFormat="false" ht="32.8" hidden="false" customHeight="false" outlineLevel="0" collapsed="false">
      <c r="A107" s="10" t="n">
        <v>95</v>
      </c>
      <c r="B107" s="10" t="s">
        <v>114</v>
      </c>
      <c r="C107" s="10" t="s">
        <v>178</v>
      </c>
      <c r="D107" s="10" t="s">
        <v>448</v>
      </c>
      <c r="E107" s="10" t="s">
        <v>449</v>
      </c>
      <c r="F107" s="10" t="s">
        <v>450</v>
      </c>
      <c r="G107" s="10" t="s">
        <v>459</v>
      </c>
      <c r="H107" s="10" t="s">
        <v>452</v>
      </c>
      <c r="I107" s="10" t="s">
        <v>54</v>
      </c>
      <c r="J107" s="11"/>
      <c r="K107" s="12"/>
      <c r="L107" s="11"/>
      <c r="M107" s="11"/>
      <c r="N107" s="11"/>
    </row>
    <row r="108" customFormat="false" ht="32.8" hidden="false" customHeight="false" outlineLevel="0" collapsed="false">
      <c r="A108" s="13" t="n">
        <v>96</v>
      </c>
      <c r="B108" s="13" t="s">
        <v>114</v>
      </c>
      <c r="C108" s="13" t="s">
        <v>460</v>
      </c>
      <c r="D108" s="13" t="s">
        <v>448</v>
      </c>
      <c r="E108" s="13" t="s">
        <v>449</v>
      </c>
      <c r="F108" s="13" t="s">
        <v>450</v>
      </c>
      <c r="G108" s="13" t="s">
        <v>461</v>
      </c>
      <c r="H108" s="13" t="s">
        <v>452</v>
      </c>
      <c r="I108" s="13" t="s">
        <v>54</v>
      </c>
      <c r="J108" s="11"/>
      <c r="K108" s="12"/>
      <c r="L108" s="11"/>
      <c r="M108" s="11"/>
      <c r="N108" s="11"/>
    </row>
    <row r="109" customFormat="false" ht="32.8" hidden="false" customHeight="false" outlineLevel="0" collapsed="false">
      <c r="A109" s="10" t="n">
        <v>97</v>
      </c>
      <c r="B109" s="10" t="s">
        <v>114</v>
      </c>
      <c r="C109" s="10" t="s">
        <v>192</v>
      </c>
      <c r="D109" s="10" t="s">
        <v>448</v>
      </c>
      <c r="E109" s="10" t="s">
        <v>449</v>
      </c>
      <c r="F109" s="10" t="s">
        <v>450</v>
      </c>
      <c r="G109" s="10" t="s">
        <v>462</v>
      </c>
      <c r="H109" s="10" t="s">
        <v>452</v>
      </c>
      <c r="I109" s="10" t="s">
        <v>54</v>
      </c>
      <c r="J109" s="11"/>
      <c r="K109" s="12"/>
      <c r="L109" s="11"/>
      <c r="M109" s="11"/>
      <c r="N109" s="11"/>
    </row>
    <row r="110" customFormat="false" ht="32.8" hidden="false" customHeight="false" outlineLevel="0" collapsed="false">
      <c r="A110" s="13" t="n">
        <v>98</v>
      </c>
      <c r="B110" s="13" t="s">
        <v>114</v>
      </c>
      <c r="C110" s="13" t="s">
        <v>463</v>
      </c>
      <c r="D110" s="13" t="s">
        <v>448</v>
      </c>
      <c r="E110" s="13" t="s">
        <v>449</v>
      </c>
      <c r="F110" s="13" t="s">
        <v>450</v>
      </c>
      <c r="G110" s="13" t="s">
        <v>464</v>
      </c>
      <c r="H110" s="13" t="s">
        <v>452</v>
      </c>
      <c r="I110" s="13" t="s">
        <v>54</v>
      </c>
      <c r="J110" s="11"/>
      <c r="K110" s="12"/>
      <c r="L110" s="11"/>
      <c r="M110" s="11"/>
      <c r="N110" s="11"/>
    </row>
    <row r="111" customFormat="false" ht="32.8" hidden="false" customHeight="false" outlineLevel="0" collapsed="false">
      <c r="A111" s="10" t="n">
        <v>99</v>
      </c>
      <c r="B111" s="10" t="s">
        <v>114</v>
      </c>
      <c r="C111" s="10" t="s">
        <v>187</v>
      </c>
      <c r="D111" s="10" t="s">
        <v>448</v>
      </c>
      <c r="E111" s="10" t="s">
        <v>449</v>
      </c>
      <c r="F111" s="10" t="s">
        <v>450</v>
      </c>
      <c r="G111" s="10" t="s">
        <v>465</v>
      </c>
      <c r="H111" s="10" t="s">
        <v>452</v>
      </c>
      <c r="I111" s="10" t="s">
        <v>54</v>
      </c>
      <c r="J111" s="11"/>
      <c r="K111" s="12"/>
      <c r="L111" s="11"/>
      <c r="M111" s="11"/>
      <c r="N111" s="11"/>
    </row>
    <row r="112" customFormat="false" ht="32.8" hidden="false" customHeight="false" outlineLevel="0" collapsed="false">
      <c r="A112" s="13" t="n">
        <v>100</v>
      </c>
      <c r="B112" s="13" t="s">
        <v>114</v>
      </c>
      <c r="C112" s="13" t="s">
        <v>466</v>
      </c>
      <c r="D112" s="13" t="s">
        <v>448</v>
      </c>
      <c r="E112" s="13" t="s">
        <v>449</v>
      </c>
      <c r="F112" s="13" t="s">
        <v>450</v>
      </c>
      <c r="G112" s="13" t="s">
        <v>467</v>
      </c>
      <c r="H112" s="13" t="s">
        <v>452</v>
      </c>
      <c r="I112" s="13" t="s">
        <v>54</v>
      </c>
      <c r="J112" s="11"/>
      <c r="K112" s="12"/>
      <c r="L112" s="11"/>
      <c r="M112" s="11"/>
      <c r="N112" s="11"/>
    </row>
    <row r="113" customFormat="false" ht="32.8" hidden="false" customHeight="false" outlineLevel="0" collapsed="false">
      <c r="A113" s="10" t="n">
        <v>101</v>
      </c>
      <c r="B113" s="10" t="s">
        <v>114</v>
      </c>
      <c r="C113" s="10" t="s">
        <v>468</v>
      </c>
      <c r="D113" s="10" t="s">
        <v>448</v>
      </c>
      <c r="E113" s="10" t="s">
        <v>449</v>
      </c>
      <c r="F113" s="10" t="s">
        <v>450</v>
      </c>
      <c r="G113" s="10" t="s">
        <v>469</v>
      </c>
      <c r="H113" s="10" t="s">
        <v>452</v>
      </c>
      <c r="I113" s="10" t="s">
        <v>54</v>
      </c>
      <c r="J113" s="11"/>
      <c r="K113" s="12"/>
      <c r="L113" s="11"/>
      <c r="M113" s="11"/>
      <c r="N113" s="11"/>
    </row>
    <row r="114" customFormat="false" ht="32.8" hidden="false" customHeight="false" outlineLevel="0" collapsed="false">
      <c r="A114" s="13" t="n">
        <v>102</v>
      </c>
      <c r="B114" s="13" t="s">
        <v>114</v>
      </c>
      <c r="C114" s="13" t="s">
        <v>202</v>
      </c>
      <c r="D114" s="13" t="s">
        <v>448</v>
      </c>
      <c r="E114" s="13" t="s">
        <v>449</v>
      </c>
      <c r="F114" s="13" t="s">
        <v>450</v>
      </c>
      <c r="G114" s="13" t="s">
        <v>470</v>
      </c>
      <c r="H114" s="13" t="s">
        <v>452</v>
      </c>
      <c r="I114" s="13" t="s">
        <v>54</v>
      </c>
      <c r="J114" s="11"/>
      <c r="K114" s="12"/>
      <c r="L114" s="11"/>
      <c r="M114" s="11"/>
      <c r="N114" s="11"/>
    </row>
    <row r="115" customFormat="false" ht="32.8" hidden="false" customHeight="false" outlineLevel="0" collapsed="false">
      <c r="A115" s="10" t="n">
        <v>103</v>
      </c>
      <c r="B115" s="10" t="s">
        <v>114</v>
      </c>
      <c r="C115" s="10" t="s">
        <v>207</v>
      </c>
      <c r="D115" s="10" t="s">
        <v>448</v>
      </c>
      <c r="E115" s="10" t="s">
        <v>449</v>
      </c>
      <c r="F115" s="10" t="s">
        <v>450</v>
      </c>
      <c r="G115" s="10" t="s">
        <v>471</v>
      </c>
      <c r="H115" s="10" t="s">
        <v>452</v>
      </c>
      <c r="I115" s="10" t="s">
        <v>54</v>
      </c>
      <c r="J115" s="11"/>
      <c r="K115" s="12"/>
      <c r="L115" s="11"/>
      <c r="M115" s="11"/>
      <c r="N115" s="11"/>
    </row>
    <row r="116" customFormat="false" ht="32.8" hidden="false" customHeight="false" outlineLevel="0" collapsed="false">
      <c r="A116" s="13" t="n">
        <v>104</v>
      </c>
      <c r="B116" s="13" t="s">
        <v>114</v>
      </c>
      <c r="C116" s="13" t="s">
        <v>472</v>
      </c>
      <c r="D116" s="13" t="s">
        <v>448</v>
      </c>
      <c r="E116" s="13" t="s">
        <v>449</v>
      </c>
      <c r="F116" s="13" t="s">
        <v>450</v>
      </c>
      <c r="G116" s="13" t="s">
        <v>473</v>
      </c>
      <c r="H116" s="13" t="s">
        <v>452</v>
      </c>
      <c r="I116" s="13" t="s">
        <v>54</v>
      </c>
      <c r="J116" s="11"/>
      <c r="K116" s="12"/>
      <c r="L116" s="11"/>
      <c r="M116" s="11"/>
      <c r="N116" s="11"/>
    </row>
    <row r="117" customFormat="false" ht="32.8" hidden="false" customHeight="false" outlineLevel="0" collapsed="false">
      <c r="A117" s="10" t="n">
        <v>105</v>
      </c>
      <c r="B117" s="10" t="s">
        <v>114</v>
      </c>
      <c r="C117" s="10" t="s">
        <v>197</v>
      </c>
      <c r="D117" s="10" t="s">
        <v>448</v>
      </c>
      <c r="E117" s="10" t="s">
        <v>449</v>
      </c>
      <c r="F117" s="10" t="s">
        <v>450</v>
      </c>
      <c r="G117" s="10" t="s">
        <v>474</v>
      </c>
      <c r="H117" s="10" t="s">
        <v>452</v>
      </c>
      <c r="I117" s="10" t="s">
        <v>54</v>
      </c>
      <c r="J117" s="11"/>
      <c r="K117" s="12"/>
      <c r="L117" s="11"/>
      <c r="M117" s="11"/>
      <c r="N117" s="11"/>
    </row>
    <row r="118" customFormat="false" ht="32.8" hidden="false" customHeight="false" outlineLevel="0" collapsed="false">
      <c r="A118" s="13" t="n">
        <v>106</v>
      </c>
      <c r="B118" s="13" t="s">
        <v>114</v>
      </c>
      <c r="C118" s="13" t="s">
        <v>475</v>
      </c>
      <c r="D118" s="13" t="s">
        <v>448</v>
      </c>
      <c r="E118" s="13" t="s">
        <v>449</v>
      </c>
      <c r="F118" s="13" t="s">
        <v>450</v>
      </c>
      <c r="G118" s="13" t="s">
        <v>476</v>
      </c>
      <c r="H118" s="13" t="s">
        <v>452</v>
      </c>
      <c r="I118" s="13" t="s">
        <v>54</v>
      </c>
      <c r="J118" s="11"/>
      <c r="K118" s="12"/>
      <c r="L118" s="11"/>
      <c r="M118" s="11"/>
      <c r="N118" s="11"/>
    </row>
    <row r="119" customFormat="false" ht="32.8" hidden="false" customHeight="false" outlineLevel="0" collapsed="false">
      <c r="A119" s="10" t="n">
        <v>107</v>
      </c>
      <c r="B119" s="10" t="s">
        <v>114</v>
      </c>
      <c r="C119" s="10" t="s">
        <v>477</v>
      </c>
      <c r="D119" s="10" t="s">
        <v>448</v>
      </c>
      <c r="E119" s="10" t="s">
        <v>449</v>
      </c>
      <c r="F119" s="10" t="s">
        <v>450</v>
      </c>
      <c r="G119" s="10" t="s">
        <v>478</v>
      </c>
      <c r="H119" s="10" t="s">
        <v>452</v>
      </c>
      <c r="I119" s="10" t="s">
        <v>54</v>
      </c>
      <c r="J119" s="11"/>
      <c r="K119" s="12"/>
      <c r="L119" s="11"/>
      <c r="M119" s="11"/>
      <c r="N119" s="11"/>
    </row>
    <row r="120" customFormat="false" ht="32.8" hidden="false" customHeight="false" outlineLevel="0" collapsed="false">
      <c r="A120" s="13" t="n">
        <v>108</v>
      </c>
      <c r="B120" s="13" t="s">
        <v>114</v>
      </c>
      <c r="C120" s="13" t="s">
        <v>479</v>
      </c>
      <c r="D120" s="13" t="s">
        <v>448</v>
      </c>
      <c r="E120" s="13" t="s">
        <v>449</v>
      </c>
      <c r="F120" s="13" t="s">
        <v>450</v>
      </c>
      <c r="G120" s="13" t="s">
        <v>480</v>
      </c>
      <c r="H120" s="13" t="s">
        <v>452</v>
      </c>
      <c r="I120" s="13" t="s">
        <v>54</v>
      </c>
      <c r="J120" s="11"/>
      <c r="K120" s="12"/>
      <c r="L120" s="11"/>
      <c r="M120" s="11"/>
      <c r="N120" s="11"/>
    </row>
    <row r="121" customFormat="false" ht="32.8" hidden="false" customHeight="false" outlineLevel="0" collapsed="false">
      <c r="A121" s="10" t="n">
        <v>109</v>
      </c>
      <c r="B121" s="10" t="s">
        <v>114</v>
      </c>
      <c r="C121" s="10" t="s">
        <v>481</v>
      </c>
      <c r="D121" s="10" t="s">
        <v>448</v>
      </c>
      <c r="E121" s="10" t="s">
        <v>449</v>
      </c>
      <c r="F121" s="10" t="s">
        <v>450</v>
      </c>
      <c r="G121" s="10" t="s">
        <v>482</v>
      </c>
      <c r="H121" s="10" t="s">
        <v>452</v>
      </c>
      <c r="I121" s="10" t="s">
        <v>54</v>
      </c>
      <c r="J121" s="11"/>
      <c r="K121" s="12"/>
      <c r="L121" s="11"/>
      <c r="M121" s="11"/>
      <c r="N121" s="11"/>
    </row>
    <row r="122" customFormat="false" ht="32.8" hidden="false" customHeight="false" outlineLevel="0" collapsed="false">
      <c r="A122" s="13" t="n">
        <v>110</v>
      </c>
      <c r="B122" s="13" t="s">
        <v>114</v>
      </c>
      <c r="C122" s="13" t="s">
        <v>483</v>
      </c>
      <c r="D122" s="13" t="s">
        <v>448</v>
      </c>
      <c r="E122" s="13" t="s">
        <v>449</v>
      </c>
      <c r="F122" s="13" t="s">
        <v>450</v>
      </c>
      <c r="G122" s="13" t="s">
        <v>484</v>
      </c>
      <c r="H122" s="13" t="s">
        <v>452</v>
      </c>
      <c r="I122" s="13" t="s">
        <v>54</v>
      </c>
      <c r="J122" s="11"/>
      <c r="K122" s="12"/>
      <c r="L122" s="11"/>
      <c r="M122" s="11"/>
      <c r="N122" s="11"/>
    </row>
    <row r="123" customFormat="false" ht="32.8" hidden="false" customHeight="false" outlineLevel="0" collapsed="false">
      <c r="A123" s="10" t="n">
        <v>111</v>
      </c>
      <c r="B123" s="10" t="s">
        <v>212</v>
      </c>
      <c r="C123" s="10" t="s">
        <v>213</v>
      </c>
      <c r="D123" s="10" t="s">
        <v>448</v>
      </c>
      <c r="E123" s="10" t="s">
        <v>449</v>
      </c>
      <c r="F123" s="10" t="s">
        <v>450</v>
      </c>
      <c r="G123" s="10" t="s">
        <v>485</v>
      </c>
      <c r="H123" s="10" t="s">
        <v>452</v>
      </c>
      <c r="I123" s="10" t="s">
        <v>54</v>
      </c>
      <c r="J123" s="11"/>
      <c r="K123" s="12"/>
      <c r="L123" s="11"/>
      <c r="M123" s="11"/>
      <c r="N123" s="11"/>
    </row>
    <row r="124" customFormat="false" ht="32.8" hidden="false" customHeight="false" outlineLevel="0" collapsed="false">
      <c r="A124" s="13" t="n">
        <v>112</v>
      </c>
      <c r="B124" s="13" t="s">
        <v>212</v>
      </c>
      <c r="C124" s="13" t="s">
        <v>486</v>
      </c>
      <c r="D124" s="13" t="s">
        <v>448</v>
      </c>
      <c r="E124" s="13" t="s">
        <v>449</v>
      </c>
      <c r="F124" s="13" t="s">
        <v>450</v>
      </c>
      <c r="G124" s="13" t="s">
        <v>487</v>
      </c>
      <c r="H124" s="13" t="s">
        <v>452</v>
      </c>
      <c r="I124" s="13" t="s">
        <v>54</v>
      </c>
      <c r="J124" s="11"/>
      <c r="K124" s="12"/>
      <c r="L124" s="11"/>
      <c r="M124" s="11"/>
      <c r="N124" s="11"/>
    </row>
    <row r="125" customFormat="false" ht="32.8" hidden="false" customHeight="false" outlineLevel="0" collapsed="false">
      <c r="A125" s="10" t="n">
        <v>113</v>
      </c>
      <c r="B125" s="10" t="s">
        <v>212</v>
      </c>
      <c r="C125" s="10" t="s">
        <v>222</v>
      </c>
      <c r="D125" s="10" t="s">
        <v>448</v>
      </c>
      <c r="E125" s="10" t="s">
        <v>449</v>
      </c>
      <c r="F125" s="10" t="s">
        <v>450</v>
      </c>
      <c r="G125" s="10" t="s">
        <v>488</v>
      </c>
      <c r="H125" s="10" t="s">
        <v>452</v>
      </c>
      <c r="I125" s="10" t="s">
        <v>54</v>
      </c>
      <c r="J125" s="11"/>
      <c r="K125" s="12"/>
      <c r="L125" s="11"/>
      <c r="M125" s="11"/>
      <c r="N125" s="11"/>
    </row>
    <row r="126" customFormat="false" ht="32.8" hidden="false" customHeight="false" outlineLevel="0" collapsed="false">
      <c r="A126" s="13" t="n">
        <v>114</v>
      </c>
      <c r="B126" s="13" t="s">
        <v>212</v>
      </c>
      <c r="C126" s="13" t="s">
        <v>489</v>
      </c>
      <c r="D126" s="13" t="s">
        <v>448</v>
      </c>
      <c r="E126" s="13" t="s">
        <v>449</v>
      </c>
      <c r="F126" s="13" t="s">
        <v>450</v>
      </c>
      <c r="G126" s="13" t="s">
        <v>490</v>
      </c>
      <c r="H126" s="13" t="s">
        <v>452</v>
      </c>
      <c r="I126" s="13" t="s">
        <v>54</v>
      </c>
      <c r="J126" s="11"/>
      <c r="K126" s="12"/>
      <c r="L126" s="11"/>
      <c r="M126" s="11"/>
      <c r="N126" s="11"/>
    </row>
    <row r="127" customFormat="false" ht="32.8" hidden="false" customHeight="false" outlineLevel="0" collapsed="false">
      <c r="A127" s="10" t="n">
        <v>115</v>
      </c>
      <c r="B127" s="10" t="s">
        <v>212</v>
      </c>
      <c r="C127" s="10" t="s">
        <v>491</v>
      </c>
      <c r="D127" s="10" t="s">
        <v>448</v>
      </c>
      <c r="E127" s="10" t="s">
        <v>449</v>
      </c>
      <c r="F127" s="10" t="s">
        <v>450</v>
      </c>
      <c r="G127" s="10" t="s">
        <v>492</v>
      </c>
      <c r="H127" s="10" t="s">
        <v>452</v>
      </c>
      <c r="I127" s="10" t="s">
        <v>54</v>
      </c>
      <c r="J127" s="11"/>
      <c r="K127" s="12"/>
      <c r="L127" s="11"/>
      <c r="M127" s="11"/>
      <c r="N127" s="11"/>
    </row>
    <row r="128" customFormat="false" ht="32.8" hidden="false" customHeight="false" outlineLevel="0" collapsed="false">
      <c r="A128" s="13" t="n">
        <v>116</v>
      </c>
      <c r="B128" s="13" t="s">
        <v>212</v>
      </c>
      <c r="C128" s="13" t="s">
        <v>493</v>
      </c>
      <c r="D128" s="13" t="s">
        <v>448</v>
      </c>
      <c r="E128" s="13" t="s">
        <v>449</v>
      </c>
      <c r="F128" s="13" t="s">
        <v>450</v>
      </c>
      <c r="G128" s="13" t="s">
        <v>494</v>
      </c>
      <c r="H128" s="13" t="s">
        <v>452</v>
      </c>
      <c r="I128" s="13" t="s">
        <v>54</v>
      </c>
      <c r="J128" s="11"/>
      <c r="K128" s="12"/>
      <c r="L128" s="11"/>
      <c r="M128" s="11"/>
      <c r="N128" s="11"/>
    </row>
    <row r="129" customFormat="false" ht="32.8" hidden="false" customHeight="false" outlineLevel="0" collapsed="false">
      <c r="A129" s="10" t="n">
        <v>117</v>
      </c>
      <c r="B129" s="10" t="s">
        <v>212</v>
      </c>
      <c r="C129" s="10" t="s">
        <v>217</v>
      </c>
      <c r="D129" s="10" t="s">
        <v>448</v>
      </c>
      <c r="E129" s="10" t="s">
        <v>449</v>
      </c>
      <c r="F129" s="10" t="s">
        <v>450</v>
      </c>
      <c r="G129" s="10" t="s">
        <v>495</v>
      </c>
      <c r="H129" s="10" t="s">
        <v>452</v>
      </c>
      <c r="I129" s="10" t="s">
        <v>54</v>
      </c>
      <c r="J129" s="11"/>
      <c r="K129" s="12"/>
      <c r="L129" s="11"/>
      <c r="M129" s="11"/>
      <c r="N129" s="11"/>
    </row>
    <row r="130" customFormat="false" ht="32.8" hidden="false" customHeight="false" outlineLevel="0" collapsed="false">
      <c r="A130" s="13" t="n">
        <v>118</v>
      </c>
      <c r="B130" s="13" t="s">
        <v>212</v>
      </c>
      <c r="C130" s="13" t="s">
        <v>496</v>
      </c>
      <c r="D130" s="13" t="s">
        <v>448</v>
      </c>
      <c r="E130" s="13" t="s">
        <v>449</v>
      </c>
      <c r="F130" s="13" t="s">
        <v>450</v>
      </c>
      <c r="G130" s="13" t="s">
        <v>497</v>
      </c>
      <c r="H130" s="13" t="s">
        <v>452</v>
      </c>
      <c r="I130" s="13" t="s">
        <v>54</v>
      </c>
      <c r="J130" s="11"/>
      <c r="K130" s="12"/>
      <c r="L130" s="11"/>
      <c r="M130" s="11"/>
      <c r="N130" s="11"/>
    </row>
    <row r="131" customFormat="false" ht="32.8" hidden="false" customHeight="false" outlineLevel="0" collapsed="false">
      <c r="A131" s="10" t="n">
        <v>119</v>
      </c>
      <c r="B131" s="10" t="s">
        <v>212</v>
      </c>
      <c r="C131" s="10" t="s">
        <v>498</v>
      </c>
      <c r="D131" s="10" t="s">
        <v>448</v>
      </c>
      <c r="E131" s="10" t="s">
        <v>449</v>
      </c>
      <c r="F131" s="10" t="s">
        <v>450</v>
      </c>
      <c r="G131" s="10" t="s">
        <v>499</v>
      </c>
      <c r="H131" s="10" t="s">
        <v>452</v>
      </c>
      <c r="I131" s="10" t="s">
        <v>54</v>
      </c>
      <c r="J131" s="11"/>
      <c r="K131" s="12"/>
      <c r="L131" s="11"/>
      <c r="M131" s="11"/>
      <c r="N131" s="11"/>
    </row>
    <row r="132" customFormat="false" ht="32.8" hidden="false" customHeight="false" outlineLevel="0" collapsed="false">
      <c r="A132" s="13" t="n">
        <v>120</v>
      </c>
      <c r="B132" s="13" t="s">
        <v>212</v>
      </c>
      <c r="C132" s="13" t="s">
        <v>500</v>
      </c>
      <c r="D132" s="13" t="s">
        <v>448</v>
      </c>
      <c r="E132" s="13" t="s">
        <v>449</v>
      </c>
      <c r="F132" s="13" t="s">
        <v>450</v>
      </c>
      <c r="G132" s="13" t="s">
        <v>501</v>
      </c>
      <c r="H132" s="13" t="s">
        <v>452</v>
      </c>
      <c r="I132" s="13" t="s">
        <v>54</v>
      </c>
      <c r="J132" s="11"/>
      <c r="K132" s="12"/>
      <c r="L132" s="11"/>
      <c r="M132" s="11"/>
      <c r="N132" s="11"/>
    </row>
    <row r="133" customFormat="false" ht="32.8" hidden="false" customHeight="false" outlineLevel="0" collapsed="false">
      <c r="A133" s="10" t="n">
        <v>121</v>
      </c>
      <c r="B133" s="10" t="s">
        <v>212</v>
      </c>
      <c r="C133" s="10" t="s">
        <v>502</v>
      </c>
      <c r="D133" s="10" t="s">
        <v>448</v>
      </c>
      <c r="E133" s="10" t="s">
        <v>449</v>
      </c>
      <c r="F133" s="10" t="s">
        <v>450</v>
      </c>
      <c r="G133" s="10" t="s">
        <v>503</v>
      </c>
      <c r="H133" s="10" t="s">
        <v>452</v>
      </c>
      <c r="I133" s="10" t="s">
        <v>54</v>
      </c>
      <c r="J133" s="11"/>
      <c r="K133" s="12"/>
      <c r="L133" s="11"/>
      <c r="M133" s="11"/>
      <c r="N133" s="11"/>
    </row>
    <row r="134" customFormat="false" ht="32.8" hidden="false" customHeight="false" outlineLevel="0" collapsed="false">
      <c r="A134" s="13" t="n">
        <v>122</v>
      </c>
      <c r="B134" s="13" t="s">
        <v>212</v>
      </c>
      <c r="C134" s="13" t="s">
        <v>504</v>
      </c>
      <c r="D134" s="13" t="s">
        <v>448</v>
      </c>
      <c r="E134" s="13" t="s">
        <v>449</v>
      </c>
      <c r="F134" s="13" t="s">
        <v>450</v>
      </c>
      <c r="G134" s="13" t="s">
        <v>505</v>
      </c>
      <c r="H134" s="13" t="s">
        <v>452</v>
      </c>
      <c r="I134" s="13" t="s">
        <v>54</v>
      </c>
      <c r="J134" s="11"/>
      <c r="K134" s="12"/>
      <c r="L134" s="11"/>
      <c r="M134" s="11"/>
      <c r="N134" s="11"/>
    </row>
    <row r="135" customFormat="false" ht="32.8" hidden="false" customHeight="false" outlineLevel="0" collapsed="false">
      <c r="A135" s="10" t="n">
        <v>123</v>
      </c>
      <c r="B135" s="10" t="s">
        <v>212</v>
      </c>
      <c r="C135" s="10" t="s">
        <v>506</v>
      </c>
      <c r="D135" s="10" t="s">
        <v>448</v>
      </c>
      <c r="E135" s="10" t="s">
        <v>449</v>
      </c>
      <c r="F135" s="10" t="s">
        <v>450</v>
      </c>
      <c r="G135" s="10" t="s">
        <v>507</v>
      </c>
      <c r="H135" s="10" t="s">
        <v>452</v>
      </c>
      <c r="I135" s="10" t="s">
        <v>54</v>
      </c>
      <c r="J135" s="11"/>
      <c r="K135" s="12"/>
      <c r="L135" s="11"/>
      <c r="M135" s="11"/>
      <c r="N135" s="11"/>
    </row>
    <row r="136" customFormat="false" ht="32.8" hidden="false" customHeight="false" outlineLevel="0" collapsed="false">
      <c r="A136" s="13" t="n">
        <v>124</v>
      </c>
      <c r="B136" s="13" t="s">
        <v>212</v>
      </c>
      <c r="C136" s="13" t="s">
        <v>508</v>
      </c>
      <c r="D136" s="13" t="s">
        <v>448</v>
      </c>
      <c r="E136" s="13" t="s">
        <v>449</v>
      </c>
      <c r="F136" s="13" t="s">
        <v>450</v>
      </c>
      <c r="G136" s="13" t="s">
        <v>509</v>
      </c>
      <c r="H136" s="13" t="s">
        <v>452</v>
      </c>
      <c r="I136" s="13" t="s">
        <v>54</v>
      </c>
      <c r="J136" s="11"/>
      <c r="K136" s="12"/>
      <c r="L136" s="11"/>
      <c r="M136" s="11"/>
      <c r="N136" s="11"/>
    </row>
    <row r="137" customFormat="false" ht="32.8" hidden="false" customHeight="false" outlineLevel="0" collapsed="false">
      <c r="A137" s="10" t="n">
        <v>125</v>
      </c>
      <c r="B137" s="10" t="s">
        <v>212</v>
      </c>
      <c r="C137" s="10" t="s">
        <v>510</v>
      </c>
      <c r="D137" s="10" t="s">
        <v>448</v>
      </c>
      <c r="E137" s="10" t="s">
        <v>449</v>
      </c>
      <c r="F137" s="10" t="s">
        <v>450</v>
      </c>
      <c r="G137" s="10" t="s">
        <v>511</v>
      </c>
      <c r="H137" s="10" t="s">
        <v>452</v>
      </c>
      <c r="I137" s="10" t="s">
        <v>54</v>
      </c>
      <c r="J137" s="11"/>
      <c r="K137" s="12"/>
      <c r="L137" s="11"/>
      <c r="M137" s="11"/>
      <c r="N137" s="11"/>
    </row>
    <row r="138" customFormat="false" ht="32.8" hidden="false" customHeight="false" outlineLevel="0" collapsed="false">
      <c r="A138" s="13" t="n">
        <v>126</v>
      </c>
      <c r="B138" s="13" t="s">
        <v>212</v>
      </c>
      <c r="C138" s="13" t="s">
        <v>512</v>
      </c>
      <c r="D138" s="13" t="s">
        <v>448</v>
      </c>
      <c r="E138" s="13" t="s">
        <v>449</v>
      </c>
      <c r="F138" s="13" t="s">
        <v>450</v>
      </c>
      <c r="G138" s="13" t="s">
        <v>513</v>
      </c>
      <c r="H138" s="13" t="s">
        <v>452</v>
      </c>
      <c r="I138" s="13" t="s">
        <v>54</v>
      </c>
      <c r="J138" s="11"/>
      <c r="K138" s="12"/>
      <c r="L138" s="11"/>
      <c r="M138" s="11"/>
      <c r="N138" s="11"/>
    </row>
    <row r="139" customFormat="false" ht="32.8" hidden="false" customHeight="false" outlineLevel="0" collapsed="false">
      <c r="A139" s="10" t="n">
        <v>127</v>
      </c>
      <c r="B139" s="10" t="s">
        <v>227</v>
      </c>
      <c r="C139" s="10" t="s">
        <v>228</v>
      </c>
      <c r="D139" s="10" t="s">
        <v>448</v>
      </c>
      <c r="E139" s="10" t="s">
        <v>449</v>
      </c>
      <c r="F139" s="10" t="s">
        <v>450</v>
      </c>
      <c r="G139" s="10" t="s">
        <v>514</v>
      </c>
      <c r="H139" s="10" t="s">
        <v>452</v>
      </c>
      <c r="I139" s="10" t="s">
        <v>54</v>
      </c>
      <c r="J139" s="11"/>
      <c r="K139" s="12"/>
      <c r="L139" s="11"/>
      <c r="M139" s="11"/>
      <c r="N139" s="11"/>
    </row>
    <row r="140" customFormat="false" ht="32.8" hidden="false" customHeight="false" outlineLevel="0" collapsed="false">
      <c r="A140" s="13" t="n">
        <v>128</v>
      </c>
      <c r="B140" s="13" t="s">
        <v>227</v>
      </c>
      <c r="C140" s="13" t="s">
        <v>238</v>
      </c>
      <c r="D140" s="13" t="s">
        <v>448</v>
      </c>
      <c r="E140" s="13" t="s">
        <v>449</v>
      </c>
      <c r="F140" s="13" t="s">
        <v>450</v>
      </c>
      <c r="G140" s="13" t="s">
        <v>515</v>
      </c>
      <c r="H140" s="13" t="s">
        <v>452</v>
      </c>
      <c r="I140" s="13" t="s">
        <v>54</v>
      </c>
      <c r="J140" s="11"/>
      <c r="K140" s="12"/>
      <c r="L140" s="11"/>
      <c r="M140" s="11"/>
      <c r="N140" s="11"/>
    </row>
    <row r="141" customFormat="false" ht="32.8" hidden="false" customHeight="false" outlineLevel="0" collapsed="false">
      <c r="A141" s="10" t="n">
        <v>129</v>
      </c>
      <c r="B141" s="10" t="s">
        <v>227</v>
      </c>
      <c r="C141" s="10" t="s">
        <v>233</v>
      </c>
      <c r="D141" s="10" t="s">
        <v>448</v>
      </c>
      <c r="E141" s="10" t="s">
        <v>449</v>
      </c>
      <c r="F141" s="10" t="s">
        <v>450</v>
      </c>
      <c r="G141" s="10" t="s">
        <v>516</v>
      </c>
      <c r="H141" s="10" t="s">
        <v>452</v>
      </c>
      <c r="I141" s="10" t="s">
        <v>54</v>
      </c>
      <c r="J141" s="11"/>
      <c r="K141" s="12"/>
      <c r="L141" s="11"/>
      <c r="M141" s="11"/>
      <c r="N141" s="11"/>
    </row>
    <row r="142" customFormat="false" ht="32.8" hidden="false" customHeight="false" outlineLevel="0" collapsed="false">
      <c r="A142" s="13" t="n">
        <v>130</v>
      </c>
      <c r="B142" s="13" t="s">
        <v>227</v>
      </c>
      <c r="C142" s="13" t="s">
        <v>517</v>
      </c>
      <c r="D142" s="13" t="s">
        <v>448</v>
      </c>
      <c r="E142" s="13" t="s">
        <v>449</v>
      </c>
      <c r="F142" s="13" t="s">
        <v>450</v>
      </c>
      <c r="G142" s="13" t="s">
        <v>518</v>
      </c>
      <c r="H142" s="13" t="s">
        <v>452</v>
      </c>
      <c r="I142" s="13" t="s">
        <v>54</v>
      </c>
      <c r="J142" s="11"/>
      <c r="K142" s="12"/>
      <c r="L142" s="11"/>
      <c r="M142" s="11"/>
      <c r="N142" s="11"/>
    </row>
    <row r="143" customFormat="false" ht="32.8" hidden="false" customHeight="false" outlineLevel="0" collapsed="false">
      <c r="A143" s="10" t="n">
        <v>131</v>
      </c>
      <c r="B143" s="10" t="s">
        <v>227</v>
      </c>
      <c r="C143" s="10" t="s">
        <v>519</v>
      </c>
      <c r="D143" s="10" t="s">
        <v>448</v>
      </c>
      <c r="E143" s="10" t="s">
        <v>449</v>
      </c>
      <c r="F143" s="10" t="s">
        <v>450</v>
      </c>
      <c r="G143" s="10" t="s">
        <v>520</v>
      </c>
      <c r="H143" s="10" t="s">
        <v>452</v>
      </c>
      <c r="I143" s="10" t="s">
        <v>54</v>
      </c>
      <c r="J143" s="11"/>
      <c r="K143" s="12"/>
      <c r="L143" s="11"/>
      <c r="M143" s="11"/>
      <c r="N143" s="11"/>
    </row>
    <row r="144" customFormat="false" ht="32.8" hidden="false" customHeight="false" outlineLevel="0" collapsed="false">
      <c r="A144" s="13" t="n">
        <v>132</v>
      </c>
      <c r="B144" s="13" t="s">
        <v>227</v>
      </c>
      <c r="C144" s="13" t="s">
        <v>521</v>
      </c>
      <c r="D144" s="13" t="s">
        <v>448</v>
      </c>
      <c r="E144" s="13" t="s">
        <v>449</v>
      </c>
      <c r="F144" s="13" t="s">
        <v>450</v>
      </c>
      <c r="G144" s="13" t="s">
        <v>522</v>
      </c>
      <c r="H144" s="13" t="s">
        <v>452</v>
      </c>
      <c r="I144" s="13" t="s">
        <v>54</v>
      </c>
      <c r="J144" s="11"/>
      <c r="K144" s="12"/>
      <c r="L144" s="11"/>
      <c r="M144" s="11"/>
      <c r="N144" s="11"/>
    </row>
    <row r="145" customFormat="false" ht="32.8" hidden="false" customHeight="false" outlineLevel="0" collapsed="false">
      <c r="A145" s="10" t="n">
        <v>133</v>
      </c>
      <c r="B145" s="10" t="s">
        <v>227</v>
      </c>
      <c r="C145" s="10" t="s">
        <v>523</v>
      </c>
      <c r="D145" s="10" t="s">
        <v>448</v>
      </c>
      <c r="E145" s="10" t="s">
        <v>449</v>
      </c>
      <c r="F145" s="10" t="s">
        <v>450</v>
      </c>
      <c r="G145" s="10" t="s">
        <v>524</v>
      </c>
      <c r="H145" s="10" t="s">
        <v>452</v>
      </c>
      <c r="I145" s="10" t="s">
        <v>54</v>
      </c>
      <c r="J145" s="11"/>
      <c r="K145" s="12"/>
      <c r="L145" s="11"/>
      <c r="M145" s="11"/>
      <c r="N145" s="11"/>
    </row>
    <row r="146" customFormat="false" ht="32.8" hidden="false" customHeight="false" outlineLevel="0" collapsed="false">
      <c r="A146" s="13" t="n">
        <v>134</v>
      </c>
      <c r="B146" s="13" t="s">
        <v>227</v>
      </c>
      <c r="C146" s="13" t="s">
        <v>525</v>
      </c>
      <c r="D146" s="13" t="s">
        <v>448</v>
      </c>
      <c r="E146" s="13" t="s">
        <v>449</v>
      </c>
      <c r="F146" s="13" t="s">
        <v>450</v>
      </c>
      <c r="G146" s="13" t="s">
        <v>526</v>
      </c>
      <c r="H146" s="13" t="s">
        <v>452</v>
      </c>
      <c r="I146" s="13" t="s">
        <v>54</v>
      </c>
      <c r="J146" s="11"/>
      <c r="K146" s="12"/>
      <c r="L146" s="11"/>
      <c r="M146" s="11"/>
      <c r="N146" s="11"/>
    </row>
    <row r="147" customFormat="false" ht="32.8" hidden="false" customHeight="false" outlineLevel="0" collapsed="false">
      <c r="A147" s="10" t="n">
        <v>135</v>
      </c>
      <c r="B147" s="10" t="s">
        <v>227</v>
      </c>
      <c r="C147" s="10" t="s">
        <v>527</v>
      </c>
      <c r="D147" s="10" t="s">
        <v>448</v>
      </c>
      <c r="E147" s="10" t="s">
        <v>449</v>
      </c>
      <c r="F147" s="10" t="s">
        <v>450</v>
      </c>
      <c r="G147" s="10" t="s">
        <v>528</v>
      </c>
      <c r="H147" s="10" t="s">
        <v>452</v>
      </c>
      <c r="I147" s="10" t="s">
        <v>54</v>
      </c>
      <c r="J147" s="11"/>
      <c r="K147" s="12"/>
      <c r="L147" s="11"/>
      <c r="M147" s="11"/>
      <c r="N147" s="11"/>
    </row>
    <row r="148" customFormat="false" ht="32.8" hidden="false" customHeight="false" outlineLevel="0" collapsed="false">
      <c r="A148" s="13" t="n">
        <v>136</v>
      </c>
      <c r="B148" s="13" t="s">
        <v>227</v>
      </c>
      <c r="C148" s="13" t="s">
        <v>529</v>
      </c>
      <c r="D148" s="13" t="s">
        <v>448</v>
      </c>
      <c r="E148" s="13" t="s">
        <v>449</v>
      </c>
      <c r="F148" s="13" t="s">
        <v>450</v>
      </c>
      <c r="G148" s="13" t="s">
        <v>530</v>
      </c>
      <c r="H148" s="13" t="s">
        <v>452</v>
      </c>
      <c r="I148" s="13" t="s">
        <v>54</v>
      </c>
      <c r="J148" s="11"/>
      <c r="K148" s="12"/>
      <c r="L148" s="11"/>
      <c r="M148" s="11"/>
      <c r="N148" s="11"/>
    </row>
    <row r="149" customFormat="false" ht="32.8" hidden="false" customHeight="false" outlineLevel="0" collapsed="false">
      <c r="A149" s="10" t="n">
        <v>137</v>
      </c>
      <c r="B149" s="10" t="s">
        <v>531</v>
      </c>
      <c r="C149" s="10" t="s">
        <v>532</v>
      </c>
      <c r="D149" s="10" t="s">
        <v>448</v>
      </c>
      <c r="E149" s="10" t="s">
        <v>449</v>
      </c>
      <c r="F149" s="10" t="s">
        <v>450</v>
      </c>
      <c r="G149" s="10" t="s">
        <v>533</v>
      </c>
      <c r="H149" s="10" t="s">
        <v>452</v>
      </c>
      <c r="I149" s="10" t="s">
        <v>144</v>
      </c>
      <c r="J149" s="11"/>
      <c r="K149" s="12"/>
      <c r="L149" s="11"/>
      <c r="M149" s="11"/>
      <c r="N149" s="11"/>
    </row>
    <row r="150" customFormat="false" ht="43.25" hidden="false" customHeight="false" outlineLevel="0" collapsed="false">
      <c r="A150" s="13" t="n">
        <v>138</v>
      </c>
      <c r="B150" s="13" t="s">
        <v>531</v>
      </c>
      <c r="C150" s="13" t="s">
        <v>534</v>
      </c>
      <c r="D150" s="13" t="s">
        <v>448</v>
      </c>
      <c r="E150" s="13" t="s">
        <v>449</v>
      </c>
      <c r="F150" s="13" t="s">
        <v>450</v>
      </c>
      <c r="G150" s="13" t="s">
        <v>535</v>
      </c>
      <c r="H150" s="13" t="s">
        <v>452</v>
      </c>
      <c r="I150" s="13" t="s">
        <v>144</v>
      </c>
      <c r="J150" s="11"/>
      <c r="K150" s="12"/>
      <c r="L150" s="11"/>
      <c r="M150" s="11"/>
      <c r="N150" s="11"/>
    </row>
    <row r="151" customFormat="false" ht="43.25" hidden="false" customHeight="false" outlineLevel="0" collapsed="false">
      <c r="A151" s="10" t="n">
        <v>139</v>
      </c>
      <c r="B151" s="10" t="s">
        <v>243</v>
      </c>
      <c r="C151" s="10" t="s">
        <v>264</v>
      </c>
      <c r="D151" s="10" t="s">
        <v>448</v>
      </c>
      <c r="E151" s="10" t="s">
        <v>449</v>
      </c>
      <c r="F151" s="10" t="s">
        <v>450</v>
      </c>
      <c r="G151" s="10" t="s">
        <v>536</v>
      </c>
      <c r="H151" s="10" t="s">
        <v>452</v>
      </c>
      <c r="I151" s="10" t="s">
        <v>144</v>
      </c>
      <c r="J151" s="11"/>
      <c r="K151" s="12"/>
      <c r="L151" s="11"/>
      <c r="M151" s="11"/>
      <c r="N151" s="11"/>
    </row>
    <row r="152" customFormat="false" ht="43.25" hidden="false" customHeight="false" outlineLevel="0" collapsed="false">
      <c r="A152" s="13" t="n">
        <v>140</v>
      </c>
      <c r="B152" s="13" t="s">
        <v>243</v>
      </c>
      <c r="C152" s="13" t="s">
        <v>537</v>
      </c>
      <c r="D152" s="13" t="s">
        <v>448</v>
      </c>
      <c r="E152" s="13" t="s">
        <v>449</v>
      </c>
      <c r="F152" s="13" t="s">
        <v>450</v>
      </c>
      <c r="G152" s="13" t="s">
        <v>538</v>
      </c>
      <c r="H152" s="13" t="s">
        <v>452</v>
      </c>
      <c r="I152" s="13" t="s">
        <v>144</v>
      </c>
      <c r="J152" s="11"/>
      <c r="K152" s="12"/>
      <c r="L152" s="11"/>
      <c r="M152" s="11"/>
      <c r="N152" s="11"/>
    </row>
    <row r="153" customFormat="false" ht="43.25" hidden="false" customHeight="false" outlineLevel="0" collapsed="false">
      <c r="A153" s="10" t="n">
        <v>141</v>
      </c>
      <c r="B153" s="10" t="s">
        <v>243</v>
      </c>
      <c r="C153" s="10" t="s">
        <v>539</v>
      </c>
      <c r="D153" s="10" t="s">
        <v>448</v>
      </c>
      <c r="E153" s="10" t="s">
        <v>449</v>
      </c>
      <c r="F153" s="10" t="s">
        <v>450</v>
      </c>
      <c r="G153" s="10" t="s">
        <v>540</v>
      </c>
      <c r="H153" s="10" t="s">
        <v>452</v>
      </c>
      <c r="I153" s="10" t="s">
        <v>144</v>
      </c>
      <c r="J153" s="11"/>
      <c r="K153" s="12"/>
      <c r="L153" s="11"/>
      <c r="M153" s="11"/>
      <c r="N153" s="11"/>
    </row>
    <row r="154" customFormat="false" ht="32.8" hidden="false" customHeight="false" outlineLevel="0" collapsed="false">
      <c r="A154" s="13" t="n">
        <v>142</v>
      </c>
      <c r="B154" s="13" t="s">
        <v>243</v>
      </c>
      <c r="C154" s="13" t="s">
        <v>541</v>
      </c>
      <c r="D154" s="13" t="s">
        <v>448</v>
      </c>
      <c r="E154" s="13" t="s">
        <v>449</v>
      </c>
      <c r="F154" s="13" t="s">
        <v>450</v>
      </c>
      <c r="G154" s="13" t="s">
        <v>542</v>
      </c>
      <c r="H154" s="13" t="s">
        <v>452</v>
      </c>
      <c r="I154" s="13" t="s">
        <v>144</v>
      </c>
      <c r="J154" s="11"/>
      <c r="K154" s="12"/>
      <c r="L154" s="11"/>
      <c r="M154" s="11"/>
      <c r="N154" s="11"/>
    </row>
    <row r="155" customFormat="false" ht="43.25" hidden="false" customHeight="false" outlineLevel="0" collapsed="false">
      <c r="A155" s="10" t="n">
        <v>143</v>
      </c>
      <c r="B155" s="10" t="s">
        <v>243</v>
      </c>
      <c r="C155" s="10" t="s">
        <v>249</v>
      </c>
      <c r="D155" s="10" t="s">
        <v>448</v>
      </c>
      <c r="E155" s="10" t="s">
        <v>449</v>
      </c>
      <c r="F155" s="10" t="s">
        <v>450</v>
      </c>
      <c r="G155" s="10" t="s">
        <v>543</v>
      </c>
      <c r="H155" s="10" t="s">
        <v>452</v>
      </c>
      <c r="I155" s="10" t="s">
        <v>144</v>
      </c>
      <c r="J155" s="11"/>
      <c r="K155" s="12"/>
      <c r="L155" s="11"/>
      <c r="M155" s="11"/>
      <c r="N155" s="11"/>
    </row>
    <row r="156" customFormat="false" ht="43.25" hidden="false" customHeight="false" outlineLevel="0" collapsed="false">
      <c r="A156" s="13" t="n">
        <v>144</v>
      </c>
      <c r="B156" s="13" t="s">
        <v>243</v>
      </c>
      <c r="C156" s="13" t="s">
        <v>544</v>
      </c>
      <c r="D156" s="13" t="s">
        <v>448</v>
      </c>
      <c r="E156" s="13" t="s">
        <v>449</v>
      </c>
      <c r="F156" s="13" t="s">
        <v>450</v>
      </c>
      <c r="G156" s="13" t="s">
        <v>545</v>
      </c>
      <c r="H156" s="13" t="s">
        <v>452</v>
      </c>
      <c r="I156" s="13" t="s">
        <v>144</v>
      </c>
      <c r="J156" s="11"/>
      <c r="K156" s="12"/>
      <c r="L156" s="11"/>
      <c r="M156" s="11"/>
      <c r="N156" s="11"/>
    </row>
    <row r="157" customFormat="false" ht="32.8" hidden="false" customHeight="false" outlineLevel="0" collapsed="false">
      <c r="A157" s="10" t="n">
        <v>145</v>
      </c>
      <c r="B157" s="10" t="s">
        <v>243</v>
      </c>
      <c r="C157" s="10" t="s">
        <v>546</v>
      </c>
      <c r="D157" s="10" t="s">
        <v>448</v>
      </c>
      <c r="E157" s="10" t="s">
        <v>449</v>
      </c>
      <c r="F157" s="10" t="s">
        <v>450</v>
      </c>
      <c r="G157" s="10" t="s">
        <v>547</v>
      </c>
      <c r="H157" s="10" t="s">
        <v>452</v>
      </c>
      <c r="I157" s="10" t="s">
        <v>144</v>
      </c>
      <c r="J157" s="11"/>
      <c r="K157" s="12"/>
      <c r="L157" s="11"/>
      <c r="M157" s="11"/>
      <c r="N157" s="11"/>
    </row>
    <row r="158" customFormat="false" ht="43.25" hidden="false" customHeight="false" outlineLevel="0" collapsed="false">
      <c r="A158" s="13" t="n">
        <v>146</v>
      </c>
      <c r="B158" s="13" t="s">
        <v>243</v>
      </c>
      <c r="C158" s="13" t="s">
        <v>548</v>
      </c>
      <c r="D158" s="13" t="s">
        <v>448</v>
      </c>
      <c r="E158" s="13" t="s">
        <v>449</v>
      </c>
      <c r="F158" s="13" t="s">
        <v>450</v>
      </c>
      <c r="G158" s="13" t="s">
        <v>549</v>
      </c>
      <c r="H158" s="13" t="s">
        <v>452</v>
      </c>
      <c r="I158" s="13" t="s">
        <v>144</v>
      </c>
      <c r="J158" s="11"/>
      <c r="K158" s="12"/>
      <c r="L158" s="11"/>
      <c r="M158" s="11"/>
      <c r="N158" s="11"/>
    </row>
    <row r="159" customFormat="false" ht="43.25" hidden="false" customHeight="false" outlineLevel="0" collapsed="false">
      <c r="A159" s="10" t="n">
        <v>147</v>
      </c>
      <c r="B159" s="10" t="s">
        <v>243</v>
      </c>
      <c r="C159" s="10" t="s">
        <v>550</v>
      </c>
      <c r="D159" s="10" t="s">
        <v>448</v>
      </c>
      <c r="E159" s="10" t="s">
        <v>449</v>
      </c>
      <c r="F159" s="10" t="s">
        <v>450</v>
      </c>
      <c r="G159" s="10" t="s">
        <v>551</v>
      </c>
      <c r="H159" s="10" t="s">
        <v>452</v>
      </c>
      <c r="I159" s="10" t="s">
        <v>144</v>
      </c>
      <c r="J159" s="11"/>
      <c r="K159" s="12"/>
      <c r="L159" s="11"/>
      <c r="M159" s="11"/>
      <c r="N159" s="11"/>
    </row>
    <row r="160" customFormat="false" ht="43.25" hidden="false" customHeight="false" outlineLevel="0" collapsed="false">
      <c r="A160" s="13" t="n">
        <v>148</v>
      </c>
      <c r="B160" s="13" t="s">
        <v>243</v>
      </c>
      <c r="C160" s="13" t="s">
        <v>552</v>
      </c>
      <c r="D160" s="13" t="s">
        <v>448</v>
      </c>
      <c r="E160" s="13" t="s">
        <v>449</v>
      </c>
      <c r="F160" s="13" t="s">
        <v>450</v>
      </c>
      <c r="G160" s="13" t="s">
        <v>553</v>
      </c>
      <c r="H160" s="13" t="s">
        <v>452</v>
      </c>
      <c r="I160" s="13" t="s">
        <v>144</v>
      </c>
      <c r="J160" s="11"/>
      <c r="K160" s="12"/>
      <c r="L160" s="11"/>
      <c r="M160" s="11"/>
      <c r="N160" s="11"/>
    </row>
    <row r="161" customFormat="false" ht="32.8" hidden="false" customHeight="false" outlineLevel="0" collapsed="false">
      <c r="A161" s="10" t="n">
        <v>149</v>
      </c>
      <c r="B161" s="10" t="s">
        <v>243</v>
      </c>
      <c r="C161" s="10" t="s">
        <v>554</v>
      </c>
      <c r="D161" s="10" t="s">
        <v>448</v>
      </c>
      <c r="E161" s="10" t="s">
        <v>449</v>
      </c>
      <c r="F161" s="10" t="s">
        <v>450</v>
      </c>
      <c r="G161" s="10" t="s">
        <v>555</v>
      </c>
      <c r="H161" s="10" t="s">
        <v>452</v>
      </c>
      <c r="I161" s="10" t="s">
        <v>144</v>
      </c>
      <c r="J161" s="11"/>
      <c r="K161" s="12"/>
      <c r="L161" s="11"/>
      <c r="M161" s="11"/>
      <c r="N161" s="11"/>
    </row>
    <row r="162" customFormat="false" ht="32.8" hidden="false" customHeight="false" outlineLevel="0" collapsed="false">
      <c r="A162" s="13" t="n">
        <v>150</v>
      </c>
      <c r="B162" s="13" t="s">
        <v>243</v>
      </c>
      <c r="C162" s="13" t="s">
        <v>556</v>
      </c>
      <c r="D162" s="13" t="s">
        <v>448</v>
      </c>
      <c r="E162" s="13" t="s">
        <v>449</v>
      </c>
      <c r="F162" s="13" t="s">
        <v>450</v>
      </c>
      <c r="G162" s="13" t="s">
        <v>557</v>
      </c>
      <c r="H162" s="13" t="s">
        <v>452</v>
      </c>
      <c r="I162" s="13" t="s">
        <v>144</v>
      </c>
      <c r="J162" s="11"/>
      <c r="K162" s="12"/>
      <c r="L162" s="11"/>
      <c r="M162" s="11"/>
      <c r="N162" s="11"/>
    </row>
    <row r="163" customFormat="false" ht="32.8" hidden="false" customHeight="false" outlineLevel="0" collapsed="false">
      <c r="A163" s="10" t="n">
        <v>151</v>
      </c>
      <c r="B163" s="10" t="s">
        <v>243</v>
      </c>
      <c r="C163" s="10" t="s">
        <v>558</v>
      </c>
      <c r="D163" s="10" t="s">
        <v>448</v>
      </c>
      <c r="E163" s="10" t="s">
        <v>449</v>
      </c>
      <c r="F163" s="10" t="s">
        <v>450</v>
      </c>
      <c r="G163" s="10" t="s">
        <v>559</v>
      </c>
      <c r="H163" s="10" t="s">
        <v>452</v>
      </c>
      <c r="I163" s="10" t="s">
        <v>144</v>
      </c>
      <c r="J163" s="11"/>
      <c r="K163" s="12"/>
      <c r="L163" s="11"/>
      <c r="M163" s="11"/>
      <c r="N163" s="11"/>
    </row>
    <row r="164" customFormat="false" ht="32.8" hidden="false" customHeight="false" outlineLevel="0" collapsed="false">
      <c r="A164" s="13" t="n">
        <v>152</v>
      </c>
      <c r="B164" s="13" t="s">
        <v>243</v>
      </c>
      <c r="C164" s="13" t="s">
        <v>244</v>
      </c>
      <c r="D164" s="13" t="s">
        <v>448</v>
      </c>
      <c r="E164" s="13" t="s">
        <v>449</v>
      </c>
      <c r="F164" s="13" t="s">
        <v>450</v>
      </c>
      <c r="G164" s="13" t="s">
        <v>560</v>
      </c>
      <c r="H164" s="13" t="s">
        <v>452</v>
      </c>
      <c r="I164" s="13" t="s">
        <v>144</v>
      </c>
      <c r="J164" s="11"/>
      <c r="K164" s="12"/>
      <c r="L164" s="11"/>
      <c r="M164" s="11"/>
      <c r="N164" s="11"/>
    </row>
    <row r="165" customFormat="false" ht="32.8" hidden="false" customHeight="false" outlineLevel="0" collapsed="false">
      <c r="A165" s="10" t="n">
        <v>153</v>
      </c>
      <c r="B165" s="10" t="s">
        <v>243</v>
      </c>
      <c r="C165" s="10" t="s">
        <v>254</v>
      </c>
      <c r="D165" s="10" t="s">
        <v>448</v>
      </c>
      <c r="E165" s="10" t="s">
        <v>449</v>
      </c>
      <c r="F165" s="10" t="s">
        <v>450</v>
      </c>
      <c r="G165" s="10" t="s">
        <v>561</v>
      </c>
      <c r="H165" s="10" t="s">
        <v>452</v>
      </c>
      <c r="I165" s="10" t="s">
        <v>144</v>
      </c>
      <c r="J165" s="11"/>
      <c r="K165" s="12"/>
      <c r="L165" s="11"/>
      <c r="M165" s="11"/>
      <c r="N165" s="11"/>
    </row>
    <row r="166" customFormat="false" ht="32.8" hidden="false" customHeight="false" outlineLevel="0" collapsed="false">
      <c r="A166" s="13" t="n">
        <v>154</v>
      </c>
      <c r="B166" s="13" t="s">
        <v>243</v>
      </c>
      <c r="C166" s="13" t="s">
        <v>562</v>
      </c>
      <c r="D166" s="13" t="s">
        <v>448</v>
      </c>
      <c r="E166" s="13" t="s">
        <v>449</v>
      </c>
      <c r="F166" s="13" t="s">
        <v>450</v>
      </c>
      <c r="G166" s="13" t="s">
        <v>563</v>
      </c>
      <c r="H166" s="13" t="s">
        <v>452</v>
      </c>
      <c r="I166" s="13" t="s">
        <v>144</v>
      </c>
      <c r="J166" s="11"/>
      <c r="K166" s="12"/>
      <c r="L166" s="11"/>
      <c r="M166" s="11"/>
      <c r="N166" s="11"/>
    </row>
    <row r="167" customFormat="false" ht="43.25" hidden="false" customHeight="false" outlineLevel="0" collapsed="false">
      <c r="A167" s="10" t="n">
        <v>155</v>
      </c>
      <c r="B167" s="10" t="s">
        <v>243</v>
      </c>
      <c r="C167" s="10" t="s">
        <v>564</v>
      </c>
      <c r="D167" s="10" t="s">
        <v>448</v>
      </c>
      <c r="E167" s="10" t="s">
        <v>449</v>
      </c>
      <c r="F167" s="10" t="s">
        <v>450</v>
      </c>
      <c r="G167" s="10" t="s">
        <v>565</v>
      </c>
      <c r="H167" s="10" t="s">
        <v>452</v>
      </c>
      <c r="I167" s="10" t="s">
        <v>144</v>
      </c>
      <c r="J167" s="11"/>
      <c r="K167" s="12"/>
      <c r="L167" s="11"/>
      <c r="M167" s="11"/>
      <c r="N167" s="11"/>
    </row>
    <row r="168" customFormat="false" ht="43.25" hidden="false" customHeight="false" outlineLevel="0" collapsed="false">
      <c r="A168" s="13" t="n">
        <v>156</v>
      </c>
      <c r="B168" s="13" t="s">
        <v>243</v>
      </c>
      <c r="C168" s="13" t="s">
        <v>259</v>
      </c>
      <c r="D168" s="13" t="s">
        <v>448</v>
      </c>
      <c r="E168" s="13" t="s">
        <v>449</v>
      </c>
      <c r="F168" s="13" t="s">
        <v>450</v>
      </c>
      <c r="G168" s="13" t="s">
        <v>566</v>
      </c>
      <c r="H168" s="13" t="s">
        <v>452</v>
      </c>
      <c r="I168" s="13" t="s">
        <v>144</v>
      </c>
      <c r="J168" s="11"/>
      <c r="K168" s="12"/>
      <c r="L168" s="11"/>
      <c r="M168" s="11"/>
      <c r="N168" s="11"/>
    </row>
    <row r="169" customFormat="false" ht="43.25" hidden="false" customHeight="false" outlineLevel="0" collapsed="false">
      <c r="A169" s="10" t="n">
        <v>157</v>
      </c>
      <c r="B169" s="10" t="s">
        <v>243</v>
      </c>
      <c r="C169" s="10" t="s">
        <v>567</v>
      </c>
      <c r="D169" s="10" t="s">
        <v>448</v>
      </c>
      <c r="E169" s="10" t="s">
        <v>449</v>
      </c>
      <c r="F169" s="10" t="s">
        <v>450</v>
      </c>
      <c r="G169" s="10" t="s">
        <v>568</v>
      </c>
      <c r="H169" s="10" t="s">
        <v>452</v>
      </c>
      <c r="I169" s="10" t="s">
        <v>144</v>
      </c>
      <c r="J169" s="11"/>
      <c r="K169" s="12"/>
      <c r="L169" s="11"/>
      <c r="M169" s="11"/>
      <c r="N169" s="11"/>
    </row>
    <row r="170" customFormat="false" ht="32.8" hidden="false" customHeight="false" outlineLevel="0" collapsed="false">
      <c r="A170" s="13" t="n">
        <v>158</v>
      </c>
      <c r="B170" s="13" t="s">
        <v>243</v>
      </c>
      <c r="C170" s="13" t="s">
        <v>569</v>
      </c>
      <c r="D170" s="13" t="s">
        <v>448</v>
      </c>
      <c r="E170" s="13" t="s">
        <v>449</v>
      </c>
      <c r="F170" s="13" t="s">
        <v>450</v>
      </c>
      <c r="G170" s="13" t="s">
        <v>570</v>
      </c>
      <c r="H170" s="13" t="s">
        <v>452</v>
      </c>
      <c r="I170" s="13" t="s">
        <v>144</v>
      </c>
      <c r="J170" s="11"/>
      <c r="K170" s="12"/>
      <c r="L170" s="11"/>
      <c r="M170" s="11"/>
      <c r="N170" s="11"/>
    </row>
    <row r="171" customFormat="false" ht="43.25" hidden="false" customHeight="false" outlineLevel="0" collapsed="false">
      <c r="A171" s="10" t="n">
        <v>159</v>
      </c>
      <c r="B171" s="10" t="s">
        <v>243</v>
      </c>
      <c r="C171" s="10" t="s">
        <v>571</v>
      </c>
      <c r="D171" s="10" t="s">
        <v>448</v>
      </c>
      <c r="E171" s="10" t="s">
        <v>449</v>
      </c>
      <c r="F171" s="10" t="s">
        <v>450</v>
      </c>
      <c r="G171" s="10" t="s">
        <v>572</v>
      </c>
      <c r="H171" s="10" t="s">
        <v>452</v>
      </c>
      <c r="I171" s="10" t="s">
        <v>144</v>
      </c>
      <c r="J171" s="11"/>
      <c r="K171" s="12"/>
      <c r="L171" s="11"/>
      <c r="M171" s="11"/>
      <c r="N171" s="11"/>
    </row>
    <row r="172" customFormat="false" ht="32.8" hidden="false" customHeight="false" outlineLevel="0" collapsed="false">
      <c r="A172" s="13" t="n">
        <v>160</v>
      </c>
      <c r="B172" s="13" t="s">
        <v>243</v>
      </c>
      <c r="C172" s="13" t="s">
        <v>573</v>
      </c>
      <c r="D172" s="13" t="s">
        <v>448</v>
      </c>
      <c r="E172" s="13" t="s">
        <v>449</v>
      </c>
      <c r="F172" s="13" t="s">
        <v>450</v>
      </c>
      <c r="G172" s="13" t="s">
        <v>574</v>
      </c>
      <c r="H172" s="13" t="s">
        <v>452</v>
      </c>
      <c r="I172" s="13" t="s">
        <v>144</v>
      </c>
      <c r="J172" s="11"/>
      <c r="K172" s="12"/>
      <c r="L172" s="11"/>
      <c r="M172" s="11"/>
      <c r="N172" s="11"/>
    </row>
    <row r="173" customFormat="false" ht="32.8" hidden="false" customHeight="false" outlineLevel="0" collapsed="false">
      <c r="A173" s="10" t="n">
        <v>161</v>
      </c>
      <c r="B173" s="10" t="s">
        <v>243</v>
      </c>
      <c r="C173" s="10" t="s">
        <v>575</v>
      </c>
      <c r="D173" s="10" t="s">
        <v>448</v>
      </c>
      <c r="E173" s="10" t="s">
        <v>449</v>
      </c>
      <c r="F173" s="10" t="s">
        <v>450</v>
      </c>
      <c r="G173" s="10" t="s">
        <v>576</v>
      </c>
      <c r="H173" s="10" t="s">
        <v>452</v>
      </c>
      <c r="I173" s="10" t="s">
        <v>144</v>
      </c>
      <c r="J173" s="11"/>
      <c r="K173" s="12"/>
      <c r="L173" s="11"/>
      <c r="M173" s="11"/>
      <c r="N173" s="11"/>
    </row>
    <row r="174" customFormat="false" ht="43.25" hidden="false" customHeight="false" outlineLevel="0" collapsed="false">
      <c r="A174" s="13" t="n">
        <v>162</v>
      </c>
      <c r="B174" s="13" t="s">
        <v>243</v>
      </c>
      <c r="C174" s="13" t="s">
        <v>577</v>
      </c>
      <c r="D174" s="13" t="s">
        <v>448</v>
      </c>
      <c r="E174" s="13" t="s">
        <v>449</v>
      </c>
      <c r="F174" s="13" t="s">
        <v>450</v>
      </c>
      <c r="G174" s="13" t="s">
        <v>578</v>
      </c>
      <c r="H174" s="13" t="s">
        <v>452</v>
      </c>
      <c r="I174" s="13" t="s">
        <v>144</v>
      </c>
      <c r="J174" s="11"/>
      <c r="K174" s="12"/>
      <c r="L174" s="11"/>
      <c r="M174" s="11"/>
      <c r="N174" s="11"/>
    </row>
    <row r="175" customFormat="false" ht="32.8" hidden="false" customHeight="false" outlineLevel="0" collapsed="false">
      <c r="A175" s="10" t="n">
        <v>163</v>
      </c>
      <c r="B175" s="10" t="s">
        <v>243</v>
      </c>
      <c r="C175" s="10" t="s">
        <v>579</v>
      </c>
      <c r="D175" s="10" t="s">
        <v>448</v>
      </c>
      <c r="E175" s="10" t="s">
        <v>449</v>
      </c>
      <c r="F175" s="10" t="s">
        <v>450</v>
      </c>
      <c r="G175" s="10" t="s">
        <v>580</v>
      </c>
      <c r="H175" s="10" t="s">
        <v>452</v>
      </c>
      <c r="I175" s="10" t="s">
        <v>144</v>
      </c>
      <c r="J175" s="11"/>
      <c r="K175" s="12"/>
      <c r="L175" s="11"/>
      <c r="M175" s="11"/>
      <c r="N175" s="11"/>
    </row>
    <row r="176" customFormat="false" ht="32.8" hidden="false" customHeight="false" outlineLevel="0" collapsed="false">
      <c r="A176" s="13" t="n">
        <v>164</v>
      </c>
      <c r="B176" s="13" t="s">
        <v>581</v>
      </c>
      <c r="C176" s="13" t="s">
        <v>582</v>
      </c>
      <c r="D176" s="13" t="s">
        <v>448</v>
      </c>
      <c r="E176" s="13" t="s">
        <v>449</v>
      </c>
      <c r="F176" s="13" t="s">
        <v>450</v>
      </c>
      <c r="G176" s="13" t="s">
        <v>583</v>
      </c>
      <c r="H176" s="13" t="s">
        <v>452</v>
      </c>
      <c r="I176" s="13" t="s">
        <v>144</v>
      </c>
      <c r="J176" s="11"/>
      <c r="K176" s="12"/>
      <c r="L176" s="11"/>
      <c r="M176" s="11"/>
      <c r="N176" s="11"/>
    </row>
    <row r="177" customFormat="false" ht="32.8" hidden="false" customHeight="false" outlineLevel="0" collapsed="false">
      <c r="A177" s="10" t="n">
        <v>165</v>
      </c>
      <c r="B177" s="10" t="s">
        <v>581</v>
      </c>
      <c r="C177" s="10" t="s">
        <v>584</v>
      </c>
      <c r="D177" s="10" t="s">
        <v>448</v>
      </c>
      <c r="E177" s="10" t="s">
        <v>449</v>
      </c>
      <c r="F177" s="10" t="s">
        <v>450</v>
      </c>
      <c r="G177" s="10" t="s">
        <v>585</v>
      </c>
      <c r="H177" s="10" t="s">
        <v>452</v>
      </c>
      <c r="I177" s="10" t="s">
        <v>144</v>
      </c>
      <c r="J177" s="11"/>
      <c r="K177" s="12"/>
      <c r="L177" s="11"/>
      <c r="M177" s="11"/>
      <c r="N177" s="11"/>
    </row>
    <row r="178" customFormat="false" ht="32.8" hidden="false" customHeight="false" outlineLevel="0" collapsed="false">
      <c r="A178" s="13" t="n">
        <v>166</v>
      </c>
      <c r="B178" s="13" t="s">
        <v>581</v>
      </c>
      <c r="C178" s="13" t="s">
        <v>586</v>
      </c>
      <c r="D178" s="13" t="s">
        <v>448</v>
      </c>
      <c r="E178" s="13" t="s">
        <v>449</v>
      </c>
      <c r="F178" s="13" t="s">
        <v>450</v>
      </c>
      <c r="G178" s="13" t="s">
        <v>587</v>
      </c>
      <c r="H178" s="13" t="s">
        <v>452</v>
      </c>
      <c r="I178" s="13" t="s">
        <v>144</v>
      </c>
      <c r="J178" s="11"/>
      <c r="K178" s="12"/>
      <c r="L178" s="11"/>
      <c r="M178" s="11"/>
      <c r="N178" s="11"/>
    </row>
    <row r="179" customFormat="false" ht="32.8" hidden="false" customHeight="false" outlineLevel="0" collapsed="false">
      <c r="A179" s="10" t="n">
        <v>167</v>
      </c>
      <c r="B179" s="10" t="s">
        <v>581</v>
      </c>
      <c r="C179" s="10" t="s">
        <v>588</v>
      </c>
      <c r="D179" s="10" t="s">
        <v>448</v>
      </c>
      <c r="E179" s="10" t="s">
        <v>449</v>
      </c>
      <c r="F179" s="10" t="s">
        <v>450</v>
      </c>
      <c r="G179" s="10" t="s">
        <v>589</v>
      </c>
      <c r="H179" s="10" t="s">
        <v>452</v>
      </c>
      <c r="I179" s="10" t="s">
        <v>144</v>
      </c>
      <c r="J179" s="11"/>
      <c r="K179" s="12"/>
      <c r="L179" s="11"/>
      <c r="M179" s="11"/>
      <c r="N179" s="11"/>
    </row>
    <row r="180" customFormat="false" ht="43.25" hidden="false" customHeight="false" outlineLevel="0" collapsed="false">
      <c r="A180" s="13" t="n">
        <v>168</v>
      </c>
      <c r="B180" s="13" t="s">
        <v>269</v>
      </c>
      <c r="C180" s="13" t="s">
        <v>270</v>
      </c>
      <c r="D180" s="13" t="s">
        <v>448</v>
      </c>
      <c r="E180" s="13" t="s">
        <v>449</v>
      </c>
      <c r="F180" s="13" t="s">
        <v>450</v>
      </c>
      <c r="G180" s="13" t="s">
        <v>590</v>
      </c>
      <c r="H180" s="13" t="s">
        <v>452</v>
      </c>
      <c r="I180" s="13" t="s">
        <v>54</v>
      </c>
      <c r="J180" s="11"/>
      <c r="K180" s="12"/>
      <c r="L180" s="11"/>
      <c r="M180" s="11"/>
      <c r="N180" s="11"/>
    </row>
    <row r="181" customFormat="false" ht="32.8" hidden="false" customHeight="false" outlineLevel="0" collapsed="false">
      <c r="A181" s="10" t="n">
        <v>169</v>
      </c>
      <c r="B181" s="10" t="s">
        <v>269</v>
      </c>
      <c r="C181" s="10" t="s">
        <v>591</v>
      </c>
      <c r="D181" s="10" t="s">
        <v>448</v>
      </c>
      <c r="E181" s="10" t="s">
        <v>449</v>
      </c>
      <c r="F181" s="10" t="s">
        <v>450</v>
      </c>
      <c r="G181" s="10" t="s">
        <v>592</v>
      </c>
      <c r="H181" s="10" t="s">
        <v>452</v>
      </c>
      <c r="I181" s="10" t="s">
        <v>54</v>
      </c>
      <c r="J181" s="11"/>
      <c r="K181" s="12"/>
      <c r="L181" s="11"/>
      <c r="M181" s="11"/>
      <c r="N181" s="11"/>
    </row>
    <row r="182" customFormat="false" ht="32.8" hidden="false" customHeight="false" outlineLevel="0" collapsed="false">
      <c r="A182" s="13" t="n">
        <v>170</v>
      </c>
      <c r="B182" s="13" t="s">
        <v>269</v>
      </c>
      <c r="C182" s="13" t="s">
        <v>308</v>
      </c>
      <c r="D182" s="13" t="s">
        <v>448</v>
      </c>
      <c r="E182" s="13" t="s">
        <v>449</v>
      </c>
      <c r="F182" s="13" t="s">
        <v>450</v>
      </c>
      <c r="G182" s="13" t="s">
        <v>593</v>
      </c>
      <c r="H182" s="13" t="s">
        <v>452</v>
      </c>
      <c r="I182" s="13" t="s">
        <v>54</v>
      </c>
      <c r="J182" s="11"/>
      <c r="K182" s="12"/>
      <c r="L182" s="11"/>
      <c r="M182" s="11"/>
      <c r="N182" s="11"/>
    </row>
    <row r="183" customFormat="false" ht="32.8" hidden="false" customHeight="false" outlineLevel="0" collapsed="false">
      <c r="A183" s="10" t="n">
        <v>171</v>
      </c>
      <c r="B183" s="10" t="s">
        <v>269</v>
      </c>
      <c r="C183" s="10" t="s">
        <v>275</v>
      </c>
      <c r="D183" s="10" t="s">
        <v>448</v>
      </c>
      <c r="E183" s="10" t="s">
        <v>449</v>
      </c>
      <c r="F183" s="10" t="s">
        <v>450</v>
      </c>
      <c r="G183" s="10" t="s">
        <v>594</v>
      </c>
      <c r="H183" s="10" t="s">
        <v>452</v>
      </c>
      <c r="I183" s="10" t="s">
        <v>54</v>
      </c>
      <c r="J183" s="11"/>
      <c r="K183" s="12"/>
      <c r="L183" s="11"/>
      <c r="M183" s="11"/>
      <c r="N183" s="11"/>
    </row>
    <row r="184" customFormat="false" ht="43.25" hidden="false" customHeight="false" outlineLevel="0" collapsed="false">
      <c r="A184" s="13" t="n">
        <v>172</v>
      </c>
      <c r="B184" s="13" t="s">
        <v>269</v>
      </c>
      <c r="C184" s="13" t="s">
        <v>595</v>
      </c>
      <c r="D184" s="13" t="s">
        <v>448</v>
      </c>
      <c r="E184" s="13" t="s">
        <v>449</v>
      </c>
      <c r="F184" s="13" t="s">
        <v>450</v>
      </c>
      <c r="G184" s="13" t="s">
        <v>596</v>
      </c>
      <c r="H184" s="13" t="s">
        <v>452</v>
      </c>
      <c r="I184" s="13" t="s">
        <v>54</v>
      </c>
      <c r="J184" s="11"/>
      <c r="K184" s="12"/>
      <c r="L184" s="11"/>
      <c r="M184" s="11"/>
      <c r="N184" s="11"/>
    </row>
    <row r="185" customFormat="false" ht="43.25" hidden="false" customHeight="false" outlineLevel="0" collapsed="false">
      <c r="A185" s="10" t="n">
        <v>173</v>
      </c>
      <c r="B185" s="10" t="s">
        <v>269</v>
      </c>
      <c r="C185" s="10" t="s">
        <v>597</v>
      </c>
      <c r="D185" s="10" t="s">
        <v>448</v>
      </c>
      <c r="E185" s="10" t="s">
        <v>449</v>
      </c>
      <c r="F185" s="10" t="s">
        <v>450</v>
      </c>
      <c r="G185" s="10" t="s">
        <v>598</v>
      </c>
      <c r="H185" s="10" t="s">
        <v>452</v>
      </c>
      <c r="I185" s="10" t="s">
        <v>54</v>
      </c>
      <c r="J185" s="11"/>
      <c r="K185" s="12"/>
      <c r="L185" s="11"/>
      <c r="M185" s="11"/>
      <c r="N185" s="11"/>
    </row>
    <row r="186" customFormat="false" ht="43.25" hidden="false" customHeight="false" outlineLevel="0" collapsed="false">
      <c r="A186" s="13" t="n">
        <v>174</v>
      </c>
      <c r="B186" s="13" t="s">
        <v>269</v>
      </c>
      <c r="C186" s="13" t="s">
        <v>599</v>
      </c>
      <c r="D186" s="13" t="s">
        <v>448</v>
      </c>
      <c r="E186" s="13" t="s">
        <v>449</v>
      </c>
      <c r="F186" s="13" t="s">
        <v>450</v>
      </c>
      <c r="G186" s="13" t="s">
        <v>600</v>
      </c>
      <c r="H186" s="13" t="s">
        <v>452</v>
      </c>
      <c r="I186" s="13" t="s">
        <v>54</v>
      </c>
      <c r="J186" s="11"/>
      <c r="K186" s="12"/>
      <c r="L186" s="11"/>
      <c r="M186" s="11"/>
      <c r="N186" s="11"/>
    </row>
    <row r="187" customFormat="false" ht="43.25" hidden="false" customHeight="false" outlineLevel="0" collapsed="false">
      <c r="A187" s="10" t="n">
        <v>175</v>
      </c>
      <c r="B187" s="10" t="s">
        <v>269</v>
      </c>
      <c r="C187" s="10" t="s">
        <v>601</v>
      </c>
      <c r="D187" s="10" t="s">
        <v>448</v>
      </c>
      <c r="E187" s="10" t="s">
        <v>449</v>
      </c>
      <c r="F187" s="10" t="s">
        <v>450</v>
      </c>
      <c r="G187" s="10" t="s">
        <v>602</v>
      </c>
      <c r="H187" s="10" t="s">
        <v>452</v>
      </c>
      <c r="I187" s="10" t="s">
        <v>54</v>
      </c>
      <c r="J187" s="11"/>
      <c r="K187" s="12"/>
      <c r="L187" s="11"/>
      <c r="M187" s="11"/>
      <c r="N187" s="11"/>
    </row>
    <row r="188" customFormat="false" ht="32.8" hidden="false" customHeight="false" outlineLevel="0" collapsed="false">
      <c r="A188" s="13" t="n">
        <v>176</v>
      </c>
      <c r="B188" s="13" t="s">
        <v>269</v>
      </c>
      <c r="C188" s="13" t="s">
        <v>280</v>
      </c>
      <c r="D188" s="13" t="s">
        <v>448</v>
      </c>
      <c r="E188" s="13" t="s">
        <v>449</v>
      </c>
      <c r="F188" s="13" t="s">
        <v>450</v>
      </c>
      <c r="G188" s="13" t="s">
        <v>603</v>
      </c>
      <c r="H188" s="13" t="s">
        <v>452</v>
      </c>
      <c r="I188" s="13" t="s">
        <v>54</v>
      </c>
      <c r="J188" s="11"/>
      <c r="K188" s="12"/>
      <c r="L188" s="11"/>
      <c r="M188" s="11"/>
      <c r="N188" s="11"/>
    </row>
    <row r="189" customFormat="false" ht="43.25" hidden="false" customHeight="false" outlineLevel="0" collapsed="false">
      <c r="A189" s="10" t="n">
        <v>177</v>
      </c>
      <c r="B189" s="10" t="s">
        <v>269</v>
      </c>
      <c r="C189" s="10" t="s">
        <v>604</v>
      </c>
      <c r="D189" s="10" t="s">
        <v>448</v>
      </c>
      <c r="E189" s="10" t="s">
        <v>449</v>
      </c>
      <c r="F189" s="10" t="s">
        <v>450</v>
      </c>
      <c r="G189" s="10" t="s">
        <v>605</v>
      </c>
      <c r="H189" s="10" t="s">
        <v>452</v>
      </c>
      <c r="I189" s="10" t="s">
        <v>54</v>
      </c>
      <c r="J189" s="11"/>
      <c r="K189" s="12"/>
      <c r="L189" s="11"/>
      <c r="M189" s="11"/>
      <c r="N189" s="11"/>
    </row>
    <row r="190" customFormat="false" ht="32.8" hidden="false" customHeight="false" outlineLevel="0" collapsed="false">
      <c r="A190" s="13" t="n">
        <v>178</v>
      </c>
      <c r="B190" s="13" t="s">
        <v>269</v>
      </c>
      <c r="C190" s="13" t="s">
        <v>606</v>
      </c>
      <c r="D190" s="13" t="s">
        <v>448</v>
      </c>
      <c r="E190" s="13" t="s">
        <v>449</v>
      </c>
      <c r="F190" s="13" t="s">
        <v>450</v>
      </c>
      <c r="G190" s="13" t="s">
        <v>607</v>
      </c>
      <c r="H190" s="13" t="s">
        <v>452</v>
      </c>
      <c r="I190" s="13" t="s">
        <v>54</v>
      </c>
      <c r="J190" s="11"/>
      <c r="K190" s="12"/>
      <c r="L190" s="11"/>
      <c r="M190" s="11"/>
      <c r="N190" s="11"/>
    </row>
    <row r="191" customFormat="false" ht="32.8" hidden="false" customHeight="false" outlineLevel="0" collapsed="false">
      <c r="A191" s="10" t="n">
        <v>179</v>
      </c>
      <c r="B191" s="10" t="s">
        <v>269</v>
      </c>
      <c r="C191" s="10" t="s">
        <v>608</v>
      </c>
      <c r="D191" s="10" t="s">
        <v>448</v>
      </c>
      <c r="E191" s="10" t="s">
        <v>449</v>
      </c>
      <c r="F191" s="10" t="s">
        <v>450</v>
      </c>
      <c r="G191" s="10" t="s">
        <v>609</v>
      </c>
      <c r="H191" s="10" t="s">
        <v>452</v>
      </c>
      <c r="I191" s="10" t="s">
        <v>54</v>
      </c>
      <c r="J191" s="11"/>
      <c r="K191" s="12"/>
      <c r="L191" s="11"/>
      <c r="M191" s="11"/>
      <c r="N191" s="11"/>
    </row>
    <row r="192" customFormat="false" ht="43.25" hidden="false" customHeight="false" outlineLevel="0" collapsed="false">
      <c r="A192" s="13" t="n">
        <v>180</v>
      </c>
      <c r="B192" s="13" t="s">
        <v>269</v>
      </c>
      <c r="C192" s="13" t="s">
        <v>303</v>
      </c>
      <c r="D192" s="13" t="s">
        <v>448</v>
      </c>
      <c r="E192" s="13" t="s">
        <v>449</v>
      </c>
      <c r="F192" s="13" t="s">
        <v>450</v>
      </c>
      <c r="G192" s="13" t="s">
        <v>610</v>
      </c>
      <c r="H192" s="13" t="s">
        <v>452</v>
      </c>
      <c r="I192" s="13" t="s">
        <v>54</v>
      </c>
      <c r="J192" s="11"/>
      <c r="K192" s="12"/>
      <c r="L192" s="11"/>
      <c r="M192" s="11"/>
      <c r="N192" s="11"/>
    </row>
    <row r="193" customFormat="false" ht="32.8" hidden="false" customHeight="false" outlineLevel="0" collapsed="false">
      <c r="A193" s="10" t="n">
        <v>181</v>
      </c>
      <c r="B193" s="10" t="s">
        <v>269</v>
      </c>
      <c r="C193" s="10" t="s">
        <v>611</v>
      </c>
      <c r="D193" s="10" t="s">
        <v>448</v>
      </c>
      <c r="E193" s="10" t="s">
        <v>449</v>
      </c>
      <c r="F193" s="10" t="s">
        <v>450</v>
      </c>
      <c r="G193" s="10" t="s">
        <v>612</v>
      </c>
      <c r="H193" s="10" t="s">
        <v>452</v>
      </c>
      <c r="I193" s="10" t="s">
        <v>54</v>
      </c>
      <c r="J193" s="11"/>
      <c r="K193" s="12"/>
      <c r="L193" s="11"/>
      <c r="M193" s="11"/>
      <c r="N193" s="11"/>
    </row>
    <row r="194" customFormat="false" ht="32.8" hidden="false" customHeight="false" outlineLevel="0" collapsed="false">
      <c r="A194" s="13" t="n">
        <v>182</v>
      </c>
      <c r="B194" s="13" t="s">
        <v>269</v>
      </c>
      <c r="C194" s="13" t="s">
        <v>293</v>
      </c>
      <c r="D194" s="13" t="s">
        <v>448</v>
      </c>
      <c r="E194" s="13" t="s">
        <v>449</v>
      </c>
      <c r="F194" s="13" t="s">
        <v>450</v>
      </c>
      <c r="G194" s="13" t="s">
        <v>613</v>
      </c>
      <c r="H194" s="13" t="s">
        <v>452</v>
      </c>
      <c r="I194" s="13" t="s">
        <v>54</v>
      </c>
      <c r="J194" s="11"/>
      <c r="K194" s="12"/>
      <c r="L194" s="11"/>
      <c r="M194" s="11"/>
      <c r="N194" s="11"/>
    </row>
    <row r="195" customFormat="false" ht="32.8" hidden="false" customHeight="false" outlineLevel="0" collapsed="false">
      <c r="A195" s="10" t="n">
        <v>183</v>
      </c>
      <c r="B195" s="10" t="s">
        <v>269</v>
      </c>
      <c r="C195" s="10" t="s">
        <v>298</v>
      </c>
      <c r="D195" s="10" t="s">
        <v>448</v>
      </c>
      <c r="E195" s="10" t="s">
        <v>449</v>
      </c>
      <c r="F195" s="10" t="s">
        <v>450</v>
      </c>
      <c r="G195" s="10" t="s">
        <v>614</v>
      </c>
      <c r="H195" s="10" t="s">
        <v>452</v>
      </c>
      <c r="I195" s="10" t="s">
        <v>54</v>
      </c>
      <c r="J195" s="11"/>
      <c r="K195" s="12"/>
      <c r="L195" s="11"/>
      <c r="M195" s="11"/>
      <c r="N195" s="11"/>
    </row>
    <row r="196" customFormat="false" ht="32.8" hidden="false" customHeight="false" outlineLevel="0" collapsed="false">
      <c r="A196" s="13" t="n">
        <v>184</v>
      </c>
      <c r="B196" s="13" t="s">
        <v>269</v>
      </c>
      <c r="C196" s="13" t="s">
        <v>615</v>
      </c>
      <c r="D196" s="13" t="s">
        <v>448</v>
      </c>
      <c r="E196" s="13" t="s">
        <v>449</v>
      </c>
      <c r="F196" s="13" t="s">
        <v>450</v>
      </c>
      <c r="G196" s="13" t="s">
        <v>616</v>
      </c>
      <c r="H196" s="13" t="s">
        <v>452</v>
      </c>
      <c r="I196" s="13" t="s">
        <v>54</v>
      </c>
      <c r="J196" s="11"/>
      <c r="K196" s="12"/>
      <c r="L196" s="11"/>
      <c r="M196" s="11"/>
      <c r="N196" s="11"/>
    </row>
    <row r="197" customFormat="false" ht="32.8" hidden="false" customHeight="false" outlineLevel="0" collapsed="false">
      <c r="A197" s="10" t="n">
        <v>185</v>
      </c>
      <c r="B197" s="10" t="s">
        <v>269</v>
      </c>
      <c r="C197" s="10" t="s">
        <v>617</v>
      </c>
      <c r="D197" s="10" t="s">
        <v>448</v>
      </c>
      <c r="E197" s="10" t="s">
        <v>449</v>
      </c>
      <c r="F197" s="10" t="s">
        <v>450</v>
      </c>
      <c r="G197" s="10" t="s">
        <v>618</v>
      </c>
      <c r="H197" s="10" t="s">
        <v>452</v>
      </c>
      <c r="I197" s="10" t="s">
        <v>54</v>
      </c>
      <c r="J197" s="11"/>
      <c r="K197" s="12"/>
      <c r="L197" s="11"/>
      <c r="M197" s="11"/>
      <c r="N197" s="11"/>
    </row>
    <row r="198" customFormat="false" ht="43.25" hidden="false" customHeight="false" outlineLevel="0" collapsed="false">
      <c r="A198" s="13" t="n">
        <v>186</v>
      </c>
      <c r="B198" s="13" t="s">
        <v>269</v>
      </c>
      <c r="C198" s="13" t="s">
        <v>619</v>
      </c>
      <c r="D198" s="13" t="s">
        <v>448</v>
      </c>
      <c r="E198" s="13" t="s">
        <v>449</v>
      </c>
      <c r="F198" s="13" t="s">
        <v>450</v>
      </c>
      <c r="G198" s="13" t="s">
        <v>620</v>
      </c>
      <c r="H198" s="13" t="s">
        <v>452</v>
      </c>
      <c r="I198" s="13" t="s">
        <v>54</v>
      </c>
      <c r="J198" s="11"/>
      <c r="K198" s="12"/>
      <c r="L198" s="11"/>
      <c r="M198" s="11"/>
      <c r="N198" s="11"/>
    </row>
    <row r="199" customFormat="false" ht="32.8" hidden="false" customHeight="false" outlineLevel="0" collapsed="false">
      <c r="A199" s="10" t="n">
        <v>187</v>
      </c>
      <c r="B199" s="10" t="s">
        <v>269</v>
      </c>
      <c r="C199" s="10" t="s">
        <v>621</v>
      </c>
      <c r="D199" s="10" t="s">
        <v>448</v>
      </c>
      <c r="E199" s="10" t="s">
        <v>449</v>
      </c>
      <c r="F199" s="10" t="s">
        <v>450</v>
      </c>
      <c r="G199" s="10" t="s">
        <v>622</v>
      </c>
      <c r="H199" s="10" t="s">
        <v>452</v>
      </c>
      <c r="I199" s="10" t="s">
        <v>54</v>
      </c>
      <c r="J199" s="11"/>
      <c r="K199" s="12"/>
      <c r="L199" s="11"/>
      <c r="M199" s="11"/>
      <c r="N199" s="11"/>
    </row>
    <row r="200" customFormat="false" ht="43.25" hidden="false" customHeight="false" outlineLevel="0" collapsed="false">
      <c r="A200" s="13" t="n">
        <v>188</v>
      </c>
      <c r="B200" s="13" t="s">
        <v>269</v>
      </c>
      <c r="C200" s="13" t="s">
        <v>623</v>
      </c>
      <c r="D200" s="13" t="s">
        <v>448</v>
      </c>
      <c r="E200" s="13" t="s">
        <v>449</v>
      </c>
      <c r="F200" s="13" t="s">
        <v>450</v>
      </c>
      <c r="G200" s="13" t="s">
        <v>624</v>
      </c>
      <c r="H200" s="13" t="s">
        <v>452</v>
      </c>
      <c r="I200" s="13" t="s">
        <v>54</v>
      </c>
      <c r="J200" s="11"/>
      <c r="K200" s="12"/>
      <c r="L200" s="11"/>
      <c r="M200" s="11"/>
      <c r="N200" s="11"/>
    </row>
    <row r="201" customFormat="false" ht="32.8" hidden="false" customHeight="false" outlineLevel="0" collapsed="false">
      <c r="A201" s="10" t="n">
        <v>189</v>
      </c>
      <c r="B201" s="10" t="s">
        <v>313</v>
      </c>
      <c r="C201" s="10" t="s">
        <v>314</v>
      </c>
      <c r="D201" s="10" t="s">
        <v>448</v>
      </c>
      <c r="E201" s="10" t="s">
        <v>449</v>
      </c>
      <c r="F201" s="10" t="s">
        <v>450</v>
      </c>
      <c r="G201" s="10" t="s">
        <v>625</v>
      </c>
      <c r="H201" s="10" t="s">
        <v>452</v>
      </c>
      <c r="I201" s="10" t="s">
        <v>54</v>
      </c>
      <c r="J201" s="11"/>
      <c r="K201" s="12"/>
      <c r="L201" s="11"/>
      <c r="M201" s="11"/>
      <c r="N201" s="11"/>
    </row>
    <row r="202" customFormat="false" ht="32.8" hidden="false" customHeight="false" outlineLevel="0" collapsed="false">
      <c r="A202" s="13" t="n">
        <v>190</v>
      </c>
      <c r="B202" s="13" t="s">
        <v>313</v>
      </c>
      <c r="C202" s="13" t="s">
        <v>626</v>
      </c>
      <c r="D202" s="13" t="s">
        <v>448</v>
      </c>
      <c r="E202" s="13" t="s">
        <v>449</v>
      </c>
      <c r="F202" s="13" t="s">
        <v>450</v>
      </c>
      <c r="G202" s="13" t="s">
        <v>627</v>
      </c>
      <c r="H202" s="13" t="s">
        <v>452</v>
      </c>
      <c r="I202" s="13" t="s">
        <v>54</v>
      </c>
      <c r="J202" s="11"/>
      <c r="K202" s="12"/>
      <c r="L202" s="11"/>
      <c r="M202" s="11"/>
      <c r="N202" s="11"/>
    </row>
    <row r="203" customFormat="false" ht="32.8" hidden="false" customHeight="false" outlineLevel="0" collapsed="false">
      <c r="A203" s="10" t="n">
        <v>191</v>
      </c>
      <c r="B203" s="10" t="s">
        <v>313</v>
      </c>
      <c r="C203" s="10" t="s">
        <v>628</v>
      </c>
      <c r="D203" s="10" t="s">
        <v>448</v>
      </c>
      <c r="E203" s="10" t="s">
        <v>449</v>
      </c>
      <c r="F203" s="10" t="s">
        <v>450</v>
      </c>
      <c r="G203" s="10" t="s">
        <v>629</v>
      </c>
      <c r="H203" s="10" t="s">
        <v>452</v>
      </c>
      <c r="I203" s="10" t="s">
        <v>54</v>
      </c>
      <c r="J203" s="11"/>
      <c r="K203" s="12"/>
      <c r="L203" s="11"/>
      <c r="M203" s="11"/>
      <c r="N203" s="11"/>
    </row>
    <row r="204" customFormat="false" ht="32.8" hidden="false" customHeight="false" outlineLevel="0" collapsed="false">
      <c r="A204" s="13" t="n">
        <v>192</v>
      </c>
      <c r="B204" s="13" t="s">
        <v>313</v>
      </c>
      <c r="C204" s="13" t="s">
        <v>630</v>
      </c>
      <c r="D204" s="13" t="s">
        <v>448</v>
      </c>
      <c r="E204" s="13" t="s">
        <v>449</v>
      </c>
      <c r="F204" s="13" t="s">
        <v>450</v>
      </c>
      <c r="G204" s="13" t="s">
        <v>631</v>
      </c>
      <c r="H204" s="13" t="s">
        <v>452</v>
      </c>
      <c r="I204" s="13" t="s">
        <v>54</v>
      </c>
      <c r="J204" s="11"/>
      <c r="K204" s="12"/>
      <c r="L204" s="11"/>
      <c r="M204" s="11"/>
      <c r="N204" s="11"/>
    </row>
    <row r="205" customFormat="false" ht="32.8" hidden="false" customHeight="false" outlineLevel="0" collapsed="false">
      <c r="A205" s="10" t="n">
        <v>193</v>
      </c>
      <c r="B205" s="10" t="s">
        <v>313</v>
      </c>
      <c r="C205" s="10" t="s">
        <v>632</v>
      </c>
      <c r="D205" s="10" t="s">
        <v>448</v>
      </c>
      <c r="E205" s="10" t="s">
        <v>449</v>
      </c>
      <c r="F205" s="10" t="s">
        <v>450</v>
      </c>
      <c r="G205" s="10" t="s">
        <v>633</v>
      </c>
      <c r="H205" s="10" t="s">
        <v>452</v>
      </c>
      <c r="I205" s="10" t="s">
        <v>54</v>
      </c>
      <c r="J205" s="11"/>
      <c r="K205" s="12"/>
      <c r="L205" s="11"/>
      <c r="M205" s="11"/>
      <c r="N205" s="11"/>
    </row>
    <row r="206" customFormat="false" ht="32.8" hidden="false" customHeight="false" outlineLevel="0" collapsed="false">
      <c r="A206" s="13" t="n">
        <v>194</v>
      </c>
      <c r="B206" s="13" t="s">
        <v>313</v>
      </c>
      <c r="C206" s="13" t="s">
        <v>634</v>
      </c>
      <c r="D206" s="13" t="s">
        <v>448</v>
      </c>
      <c r="E206" s="13" t="s">
        <v>449</v>
      </c>
      <c r="F206" s="13" t="s">
        <v>450</v>
      </c>
      <c r="G206" s="13" t="s">
        <v>635</v>
      </c>
      <c r="H206" s="13" t="s">
        <v>452</v>
      </c>
      <c r="I206" s="13" t="s">
        <v>54</v>
      </c>
      <c r="J206" s="11"/>
      <c r="K206" s="12"/>
      <c r="L206" s="11"/>
      <c r="M206" s="11"/>
      <c r="N206" s="11"/>
    </row>
    <row r="207" customFormat="false" ht="32.8" hidden="false" customHeight="false" outlineLevel="0" collapsed="false">
      <c r="A207" s="10" t="n">
        <v>195</v>
      </c>
      <c r="B207" s="10" t="s">
        <v>313</v>
      </c>
      <c r="C207" s="10" t="s">
        <v>636</v>
      </c>
      <c r="D207" s="10" t="s">
        <v>448</v>
      </c>
      <c r="E207" s="10" t="s">
        <v>449</v>
      </c>
      <c r="F207" s="10" t="s">
        <v>450</v>
      </c>
      <c r="G207" s="10" t="s">
        <v>637</v>
      </c>
      <c r="H207" s="10" t="s">
        <v>452</v>
      </c>
      <c r="I207" s="10" t="s">
        <v>54</v>
      </c>
      <c r="J207" s="11"/>
      <c r="K207" s="12"/>
      <c r="L207" s="11"/>
      <c r="M207" s="11"/>
      <c r="N207" s="11"/>
    </row>
    <row r="208" customFormat="false" ht="32.8" hidden="false" customHeight="false" outlineLevel="0" collapsed="false">
      <c r="A208" s="13" t="n">
        <v>196</v>
      </c>
      <c r="B208" s="13" t="s">
        <v>313</v>
      </c>
      <c r="C208" s="13" t="s">
        <v>638</v>
      </c>
      <c r="D208" s="13" t="s">
        <v>448</v>
      </c>
      <c r="E208" s="13" t="s">
        <v>449</v>
      </c>
      <c r="F208" s="13" t="s">
        <v>450</v>
      </c>
      <c r="G208" s="13" t="s">
        <v>639</v>
      </c>
      <c r="H208" s="13" t="s">
        <v>452</v>
      </c>
      <c r="I208" s="13" t="s">
        <v>54</v>
      </c>
      <c r="J208" s="11"/>
      <c r="K208" s="12"/>
      <c r="L208" s="11"/>
      <c r="M208" s="11"/>
      <c r="N208" s="11"/>
    </row>
    <row r="209" customFormat="false" ht="32.8" hidden="false" customHeight="false" outlineLevel="0" collapsed="false">
      <c r="A209" s="10" t="n">
        <v>197</v>
      </c>
      <c r="B209" s="10" t="s">
        <v>313</v>
      </c>
      <c r="C209" s="10" t="s">
        <v>640</v>
      </c>
      <c r="D209" s="10" t="s">
        <v>448</v>
      </c>
      <c r="E209" s="10" t="s">
        <v>449</v>
      </c>
      <c r="F209" s="10" t="s">
        <v>450</v>
      </c>
      <c r="G209" s="10" t="s">
        <v>641</v>
      </c>
      <c r="H209" s="10" t="s">
        <v>452</v>
      </c>
      <c r="I209" s="10" t="s">
        <v>54</v>
      </c>
      <c r="J209" s="11"/>
      <c r="K209" s="12"/>
      <c r="L209" s="11"/>
      <c r="M209" s="11"/>
      <c r="N209" s="11"/>
    </row>
    <row r="210" customFormat="false" ht="32.8" hidden="false" customHeight="false" outlineLevel="0" collapsed="false">
      <c r="A210" s="13" t="n">
        <v>198</v>
      </c>
      <c r="B210" s="13" t="s">
        <v>313</v>
      </c>
      <c r="C210" s="13" t="s">
        <v>642</v>
      </c>
      <c r="D210" s="13" t="s">
        <v>448</v>
      </c>
      <c r="E210" s="13" t="s">
        <v>449</v>
      </c>
      <c r="F210" s="13" t="s">
        <v>450</v>
      </c>
      <c r="G210" s="13" t="s">
        <v>643</v>
      </c>
      <c r="H210" s="13" t="s">
        <v>452</v>
      </c>
      <c r="I210" s="13" t="s">
        <v>54</v>
      </c>
      <c r="J210" s="11"/>
      <c r="K210" s="12"/>
      <c r="L210" s="11"/>
      <c r="M210" s="11"/>
      <c r="N210" s="11"/>
    </row>
    <row r="211" customFormat="false" ht="32.8" hidden="false" customHeight="false" outlineLevel="0" collapsed="false">
      <c r="A211" s="10" t="n">
        <v>199</v>
      </c>
      <c r="B211" s="10" t="s">
        <v>313</v>
      </c>
      <c r="C211" s="10" t="s">
        <v>644</v>
      </c>
      <c r="D211" s="10" t="s">
        <v>448</v>
      </c>
      <c r="E211" s="10" t="s">
        <v>449</v>
      </c>
      <c r="F211" s="10" t="s">
        <v>450</v>
      </c>
      <c r="G211" s="10" t="s">
        <v>645</v>
      </c>
      <c r="H211" s="10" t="s">
        <v>452</v>
      </c>
      <c r="I211" s="10" t="s">
        <v>54</v>
      </c>
      <c r="J211" s="11"/>
      <c r="K211" s="12"/>
      <c r="L211" s="11"/>
      <c r="M211" s="11"/>
      <c r="N211" s="11"/>
    </row>
    <row r="212" customFormat="false" ht="32.8" hidden="false" customHeight="false" outlineLevel="0" collapsed="false">
      <c r="A212" s="13" t="n">
        <v>200</v>
      </c>
      <c r="B212" s="13" t="s">
        <v>313</v>
      </c>
      <c r="C212" s="13" t="s">
        <v>646</v>
      </c>
      <c r="D212" s="13" t="s">
        <v>448</v>
      </c>
      <c r="E212" s="13" t="s">
        <v>449</v>
      </c>
      <c r="F212" s="13" t="s">
        <v>450</v>
      </c>
      <c r="G212" s="13" t="s">
        <v>647</v>
      </c>
      <c r="H212" s="13" t="s">
        <v>452</v>
      </c>
      <c r="I212" s="13" t="s">
        <v>54</v>
      </c>
      <c r="J212" s="11"/>
      <c r="K212" s="12"/>
      <c r="L212" s="11"/>
      <c r="M212" s="11"/>
      <c r="N212" s="11"/>
    </row>
    <row r="213" customFormat="false" ht="32.8" hidden="false" customHeight="false" outlineLevel="0" collapsed="false">
      <c r="A213" s="10" t="n">
        <v>201</v>
      </c>
      <c r="B213" s="10" t="s">
        <v>313</v>
      </c>
      <c r="C213" s="10" t="s">
        <v>648</v>
      </c>
      <c r="D213" s="10" t="s">
        <v>448</v>
      </c>
      <c r="E213" s="10" t="s">
        <v>449</v>
      </c>
      <c r="F213" s="10" t="s">
        <v>450</v>
      </c>
      <c r="G213" s="10" t="s">
        <v>649</v>
      </c>
      <c r="H213" s="10" t="s">
        <v>452</v>
      </c>
      <c r="I213" s="10" t="s">
        <v>54</v>
      </c>
      <c r="J213" s="11"/>
      <c r="K213" s="12"/>
      <c r="L213" s="11"/>
      <c r="M213" s="11"/>
      <c r="N213" s="11"/>
    </row>
    <row r="214" customFormat="false" ht="32.8" hidden="false" customHeight="false" outlineLevel="0" collapsed="false">
      <c r="A214" s="13" t="n">
        <v>202</v>
      </c>
      <c r="B214" s="13" t="s">
        <v>313</v>
      </c>
      <c r="C214" s="13" t="s">
        <v>650</v>
      </c>
      <c r="D214" s="13" t="s">
        <v>448</v>
      </c>
      <c r="E214" s="13" t="s">
        <v>449</v>
      </c>
      <c r="F214" s="13" t="s">
        <v>450</v>
      </c>
      <c r="G214" s="13" t="s">
        <v>651</v>
      </c>
      <c r="H214" s="13" t="s">
        <v>452</v>
      </c>
      <c r="I214" s="13" t="s">
        <v>54</v>
      </c>
      <c r="J214" s="11"/>
      <c r="K214" s="12"/>
      <c r="L214" s="11"/>
      <c r="M214" s="11"/>
      <c r="N214" s="11"/>
    </row>
    <row r="215" customFormat="false" ht="32.8" hidden="false" customHeight="false" outlineLevel="0" collapsed="false">
      <c r="A215" s="10" t="n">
        <v>203</v>
      </c>
      <c r="B215" s="10" t="s">
        <v>313</v>
      </c>
      <c r="C215" s="10" t="s">
        <v>652</v>
      </c>
      <c r="D215" s="10" t="s">
        <v>448</v>
      </c>
      <c r="E215" s="10" t="s">
        <v>449</v>
      </c>
      <c r="F215" s="10" t="s">
        <v>450</v>
      </c>
      <c r="G215" s="10" t="s">
        <v>653</v>
      </c>
      <c r="H215" s="10" t="s">
        <v>452</v>
      </c>
      <c r="I215" s="10" t="s">
        <v>54</v>
      </c>
      <c r="J215" s="11"/>
      <c r="K215" s="12"/>
      <c r="L215" s="11"/>
      <c r="M215" s="11"/>
      <c r="N215" s="11"/>
    </row>
    <row r="216" customFormat="false" ht="32.8" hidden="false" customHeight="false" outlineLevel="0" collapsed="false">
      <c r="A216" s="13" t="n">
        <v>204</v>
      </c>
      <c r="B216" s="13" t="s">
        <v>313</v>
      </c>
      <c r="C216" s="13" t="s">
        <v>654</v>
      </c>
      <c r="D216" s="13" t="s">
        <v>448</v>
      </c>
      <c r="E216" s="13" t="s">
        <v>449</v>
      </c>
      <c r="F216" s="13" t="s">
        <v>450</v>
      </c>
      <c r="G216" s="13" t="s">
        <v>655</v>
      </c>
      <c r="H216" s="13" t="s">
        <v>452</v>
      </c>
      <c r="I216" s="13" t="s">
        <v>54</v>
      </c>
      <c r="J216" s="11"/>
      <c r="K216" s="12"/>
      <c r="L216" s="11"/>
      <c r="M216" s="11"/>
      <c r="N216" s="11"/>
    </row>
    <row r="217" customFormat="false" ht="32.8" hidden="false" customHeight="false" outlineLevel="0" collapsed="false">
      <c r="A217" s="10" t="n">
        <v>205</v>
      </c>
      <c r="B217" s="10" t="s">
        <v>313</v>
      </c>
      <c r="C217" s="10" t="s">
        <v>656</v>
      </c>
      <c r="D217" s="10" t="s">
        <v>448</v>
      </c>
      <c r="E217" s="10" t="s">
        <v>449</v>
      </c>
      <c r="F217" s="10" t="s">
        <v>450</v>
      </c>
      <c r="G217" s="10" t="s">
        <v>657</v>
      </c>
      <c r="H217" s="10" t="s">
        <v>452</v>
      </c>
      <c r="I217" s="10" t="s">
        <v>54</v>
      </c>
      <c r="J217" s="11"/>
      <c r="K217" s="12"/>
      <c r="L217" s="11"/>
      <c r="M217" s="11"/>
      <c r="N217" s="11"/>
    </row>
    <row r="218" customFormat="false" ht="32.8" hidden="false" customHeight="false" outlineLevel="0" collapsed="false">
      <c r="A218" s="13" t="n">
        <v>206</v>
      </c>
      <c r="B218" s="13" t="s">
        <v>313</v>
      </c>
      <c r="C218" s="13" t="s">
        <v>658</v>
      </c>
      <c r="D218" s="13" t="s">
        <v>448</v>
      </c>
      <c r="E218" s="13" t="s">
        <v>449</v>
      </c>
      <c r="F218" s="13" t="s">
        <v>450</v>
      </c>
      <c r="G218" s="13" t="s">
        <v>659</v>
      </c>
      <c r="H218" s="13" t="s">
        <v>452</v>
      </c>
      <c r="I218" s="13" t="s">
        <v>54</v>
      </c>
      <c r="J218" s="11"/>
      <c r="K218" s="12"/>
      <c r="L218" s="11"/>
      <c r="M218" s="11"/>
      <c r="N218" s="11"/>
    </row>
    <row r="219" customFormat="false" ht="32.8" hidden="false" customHeight="false" outlineLevel="0" collapsed="false">
      <c r="A219" s="10" t="n">
        <v>207</v>
      </c>
      <c r="B219" s="10" t="s">
        <v>313</v>
      </c>
      <c r="C219" s="10" t="s">
        <v>660</v>
      </c>
      <c r="D219" s="10" t="s">
        <v>448</v>
      </c>
      <c r="E219" s="10" t="s">
        <v>449</v>
      </c>
      <c r="F219" s="10" t="s">
        <v>450</v>
      </c>
      <c r="G219" s="10" t="s">
        <v>661</v>
      </c>
      <c r="H219" s="10" t="s">
        <v>452</v>
      </c>
      <c r="I219" s="10" t="s">
        <v>54</v>
      </c>
      <c r="J219" s="11"/>
      <c r="K219" s="12"/>
      <c r="L219" s="11"/>
      <c r="M219" s="11"/>
      <c r="N219" s="11"/>
    </row>
    <row r="220" customFormat="false" ht="32.8" hidden="false" customHeight="false" outlineLevel="0" collapsed="false">
      <c r="A220" s="13" t="n">
        <v>208</v>
      </c>
      <c r="B220" s="13" t="s">
        <v>313</v>
      </c>
      <c r="C220" s="13" t="s">
        <v>318</v>
      </c>
      <c r="D220" s="13" t="s">
        <v>448</v>
      </c>
      <c r="E220" s="13" t="s">
        <v>449</v>
      </c>
      <c r="F220" s="13" t="s">
        <v>450</v>
      </c>
      <c r="G220" s="13" t="s">
        <v>662</v>
      </c>
      <c r="H220" s="13" t="s">
        <v>452</v>
      </c>
      <c r="I220" s="13" t="s">
        <v>54</v>
      </c>
      <c r="J220" s="11"/>
      <c r="K220" s="12"/>
      <c r="L220" s="11"/>
      <c r="M220" s="11"/>
      <c r="N220" s="11"/>
    </row>
    <row r="221" customFormat="false" ht="32.8" hidden="false" customHeight="false" outlineLevel="0" collapsed="false">
      <c r="A221" s="10" t="n">
        <v>209</v>
      </c>
      <c r="B221" s="10" t="s">
        <v>313</v>
      </c>
      <c r="C221" s="10" t="s">
        <v>663</v>
      </c>
      <c r="D221" s="10" t="s">
        <v>448</v>
      </c>
      <c r="E221" s="10" t="s">
        <v>449</v>
      </c>
      <c r="F221" s="10" t="s">
        <v>450</v>
      </c>
      <c r="G221" s="10" t="s">
        <v>664</v>
      </c>
      <c r="H221" s="10" t="s">
        <v>452</v>
      </c>
      <c r="I221" s="10" t="s">
        <v>54</v>
      </c>
      <c r="J221" s="11"/>
      <c r="K221" s="12"/>
      <c r="L221" s="11"/>
      <c r="M221" s="11"/>
      <c r="N221" s="11"/>
    </row>
    <row r="222" customFormat="false" ht="32.8" hidden="false" customHeight="false" outlineLevel="0" collapsed="false">
      <c r="A222" s="13" t="n">
        <v>210</v>
      </c>
      <c r="B222" s="13" t="s">
        <v>313</v>
      </c>
      <c r="C222" s="13" t="s">
        <v>665</v>
      </c>
      <c r="D222" s="13" t="s">
        <v>448</v>
      </c>
      <c r="E222" s="13" t="s">
        <v>449</v>
      </c>
      <c r="F222" s="13" t="s">
        <v>450</v>
      </c>
      <c r="G222" s="13" t="s">
        <v>666</v>
      </c>
      <c r="H222" s="13" t="s">
        <v>452</v>
      </c>
      <c r="I222" s="13" t="s">
        <v>54</v>
      </c>
      <c r="J222" s="11"/>
      <c r="K222" s="12"/>
      <c r="L222" s="11"/>
      <c r="M222" s="11"/>
      <c r="N222" s="11"/>
    </row>
    <row r="223" customFormat="false" ht="32.8" hidden="false" customHeight="false" outlineLevel="0" collapsed="false">
      <c r="A223" s="10" t="n">
        <v>211</v>
      </c>
      <c r="B223" s="10" t="s">
        <v>313</v>
      </c>
      <c r="C223" s="10" t="s">
        <v>667</v>
      </c>
      <c r="D223" s="10" t="s">
        <v>448</v>
      </c>
      <c r="E223" s="10" t="s">
        <v>449</v>
      </c>
      <c r="F223" s="10" t="s">
        <v>450</v>
      </c>
      <c r="G223" s="10" t="s">
        <v>668</v>
      </c>
      <c r="H223" s="10" t="s">
        <v>452</v>
      </c>
      <c r="I223" s="10" t="s">
        <v>54</v>
      </c>
      <c r="J223" s="11"/>
      <c r="K223" s="12"/>
      <c r="L223" s="11"/>
      <c r="M223" s="11"/>
      <c r="N223" s="11"/>
    </row>
    <row r="224" customFormat="false" ht="32.8" hidden="false" customHeight="false" outlineLevel="0" collapsed="false">
      <c r="A224" s="13" t="n">
        <v>212</v>
      </c>
      <c r="B224" s="13" t="s">
        <v>313</v>
      </c>
      <c r="C224" s="13" t="s">
        <v>323</v>
      </c>
      <c r="D224" s="13" t="s">
        <v>448</v>
      </c>
      <c r="E224" s="13" t="s">
        <v>449</v>
      </c>
      <c r="F224" s="13" t="s">
        <v>450</v>
      </c>
      <c r="G224" s="13" t="s">
        <v>669</v>
      </c>
      <c r="H224" s="13" t="s">
        <v>452</v>
      </c>
      <c r="I224" s="13" t="s">
        <v>54</v>
      </c>
      <c r="J224" s="11"/>
      <c r="K224" s="12"/>
      <c r="L224" s="11"/>
      <c r="M224" s="11"/>
      <c r="N224" s="11"/>
    </row>
    <row r="225" customFormat="false" ht="32.8" hidden="false" customHeight="false" outlineLevel="0" collapsed="false">
      <c r="A225" s="10" t="n">
        <v>213</v>
      </c>
      <c r="B225" s="10" t="s">
        <v>313</v>
      </c>
      <c r="C225" s="10" t="s">
        <v>670</v>
      </c>
      <c r="D225" s="10" t="s">
        <v>448</v>
      </c>
      <c r="E225" s="10" t="s">
        <v>449</v>
      </c>
      <c r="F225" s="10" t="s">
        <v>450</v>
      </c>
      <c r="G225" s="10" t="s">
        <v>671</v>
      </c>
      <c r="H225" s="10" t="s">
        <v>452</v>
      </c>
      <c r="I225" s="10" t="s">
        <v>54</v>
      </c>
      <c r="J225" s="11"/>
      <c r="K225" s="12"/>
      <c r="L225" s="11"/>
      <c r="M225" s="11"/>
      <c r="N225" s="11"/>
    </row>
    <row r="226" customFormat="false" ht="32.8" hidden="false" customHeight="false" outlineLevel="0" collapsed="false">
      <c r="A226" s="13" t="n">
        <v>214</v>
      </c>
      <c r="B226" s="13" t="s">
        <v>313</v>
      </c>
      <c r="C226" s="13" t="s">
        <v>328</v>
      </c>
      <c r="D226" s="13" t="s">
        <v>448</v>
      </c>
      <c r="E226" s="13" t="s">
        <v>449</v>
      </c>
      <c r="F226" s="13" t="s">
        <v>450</v>
      </c>
      <c r="G226" s="13" t="s">
        <v>672</v>
      </c>
      <c r="H226" s="13" t="s">
        <v>452</v>
      </c>
      <c r="I226" s="13" t="s">
        <v>54</v>
      </c>
      <c r="J226" s="11"/>
      <c r="K226" s="12"/>
      <c r="L226" s="11"/>
      <c r="M226" s="11"/>
      <c r="N226" s="11"/>
    </row>
    <row r="227" customFormat="false" ht="32.8" hidden="false" customHeight="false" outlineLevel="0" collapsed="false">
      <c r="A227" s="10" t="n">
        <v>215</v>
      </c>
      <c r="B227" s="10" t="s">
        <v>313</v>
      </c>
      <c r="C227" s="10" t="s">
        <v>673</v>
      </c>
      <c r="D227" s="10" t="s">
        <v>448</v>
      </c>
      <c r="E227" s="10" t="s">
        <v>449</v>
      </c>
      <c r="F227" s="10" t="s">
        <v>450</v>
      </c>
      <c r="G227" s="10" t="s">
        <v>674</v>
      </c>
      <c r="H227" s="10" t="s">
        <v>452</v>
      </c>
      <c r="I227" s="10" t="s">
        <v>54</v>
      </c>
      <c r="J227" s="11"/>
      <c r="K227" s="12"/>
      <c r="L227" s="11"/>
      <c r="M227" s="11"/>
      <c r="N227" s="11"/>
    </row>
    <row r="228" customFormat="false" ht="32.8" hidden="false" customHeight="false" outlineLevel="0" collapsed="false">
      <c r="A228" s="13" t="n">
        <v>216</v>
      </c>
      <c r="B228" s="13" t="s">
        <v>313</v>
      </c>
      <c r="C228" s="13" t="s">
        <v>675</v>
      </c>
      <c r="D228" s="13" t="s">
        <v>448</v>
      </c>
      <c r="E228" s="13" t="s">
        <v>449</v>
      </c>
      <c r="F228" s="13" t="s">
        <v>450</v>
      </c>
      <c r="G228" s="13" t="s">
        <v>676</v>
      </c>
      <c r="H228" s="13" t="s">
        <v>452</v>
      </c>
      <c r="I228" s="13" t="s">
        <v>54</v>
      </c>
      <c r="J228" s="11"/>
      <c r="K228" s="12"/>
      <c r="L228" s="11"/>
      <c r="M228" s="11"/>
      <c r="N228" s="11"/>
    </row>
    <row r="229" customFormat="false" ht="32.8" hidden="false" customHeight="false" outlineLevel="0" collapsed="false">
      <c r="A229" s="10" t="n">
        <v>217</v>
      </c>
      <c r="B229" s="10" t="s">
        <v>313</v>
      </c>
      <c r="C229" s="10" t="s">
        <v>677</v>
      </c>
      <c r="D229" s="10" t="s">
        <v>448</v>
      </c>
      <c r="E229" s="10" t="s">
        <v>449</v>
      </c>
      <c r="F229" s="10" t="s">
        <v>450</v>
      </c>
      <c r="G229" s="10" t="s">
        <v>678</v>
      </c>
      <c r="H229" s="10" t="s">
        <v>452</v>
      </c>
      <c r="I229" s="10" t="s">
        <v>54</v>
      </c>
      <c r="J229" s="11"/>
      <c r="K229" s="12"/>
      <c r="L229" s="11"/>
      <c r="M229" s="11"/>
      <c r="N229" s="11"/>
    </row>
    <row r="230" customFormat="false" ht="32.8" hidden="false" customHeight="false" outlineLevel="0" collapsed="false">
      <c r="A230" s="13" t="n">
        <v>218</v>
      </c>
      <c r="B230" s="13" t="s">
        <v>313</v>
      </c>
      <c r="C230" s="13" t="s">
        <v>679</v>
      </c>
      <c r="D230" s="13" t="s">
        <v>448</v>
      </c>
      <c r="E230" s="13" t="s">
        <v>449</v>
      </c>
      <c r="F230" s="13" t="s">
        <v>450</v>
      </c>
      <c r="G230" s="13" t="s">
        <v>680</v>
      </c>
      <c r="H230" s="13" t="s">
        <v>452</v>
      </c>
      <c r="I230" s="13" t="s">
        <v>54</v>
      </c>
      <c r="J230" s="11"/>
      <c r="K230" s="12"/>
      <c r="L230" s="11"/>
      <c r="M230" s="11"/>
      <c r="N230" s="11"/>
    </row>
    <row r="231" customFormat="false" ht="32.8" hidden="false" customHeight="false" outlineLevel="0" collapsed="false">
      <c r="A231" s="10" t="n">
        <v>219</v>
      </c>
      <c r="B231" s="10" t="s">
        <v>313</v>
      </c>
      <c r="C231" s="10" t="s">
        <v>338</v>
      </c>
      <c r="D231" s="10" t="s">
        <v>448</v>
      </c>
      <c r="E231" s="10" t="s">
        <v>449</v>
      </c>
      <c r="F231" s="10" t="s">
        <v>450</v>
      </c>
      <c r="G231" s="10" t="s">
        <v>681</v>
      </c>
      <c r="H231" s="10" t="s">
        <v>452</v>
      </c>
      <c r="I231" s="10" t="s">
        <v>54</v>
      </c>
      <c r="J231" s="11"/>
      <c r="K231" s="12"/>
      <c r="L231" s="11"/>
      <c r="M231" s="11"/>
      <c r="N231" s="11"/>
    </row>
    <row r="232" customFormat="false" ht="32.8" hidden="false" customHeight="false" outlineLevel="0" collapsed="false">
      <c r="A232" s="13" t="n">
        <v>220</v>
      </c>
      <c r="B232" s="13" t="s">
        <v>313</v>
      </c>
      <c r="C232" s="13" t="s">
        <v>343</v>
      </c>
      <c r="D232" s="13" t="s">
        <v>448</v>
      </c>
      <c r="E232" s="13" t="s">
        <v>449</v>
      </c>
      <c r="F232" s="13" t="s">
        <v>450</v>
      </c>
      <c r="G232" s="13" t="s">
        <v>682</v>
      </c>
      <c r="H232" s="13" t="s">
        <v>452</v>
      </c>
      <c r="I232" s="13" t="s">
        <v>54</v>
      </c>
      <c r="J232" s="11"/>
      <c r="K232" s="12"/>
      <c r="L232" s="11"/>
      <c r="M232" s="11"/>
      <c r="N232" s="11"/>
    </row>
    <row r="233" customFormat="false" ht="32.8" hidden="false" customHeight="false" outlineLevel="0" collapsed="false">
      <c r="A233" s="10" t="n">
        <v>221</v>
      </c>
      <c r="B233" s="10" t="s">
        <v>313</v>
      </c>
      <c r="C233" s="10" t="s">
        <v>333</v>
      </c>
      <c r="D233" s="10" t="s">
        <v>448</v>
      </c>
      <c r="E233" s="10" t="s">
        <v>449</v>
      </c>
      <c r="F233" s="10" t="s">
        <v>450</v>
      </c>
      <c r="G233" s="10" t="s">
        <v>683</v>
      </c>
      <c r="H233" s="10" t="s">
        <v>452</v>
      </c>
      <c r="I233" s="10" t="s">
        <v>54</v>
      </c>
      <c r="J233" s="11"/>
      <c r="K233" s="12"/>
      <c r="L233" s="11"/>
      <c r="M233" s="11"/>
      <c r="N233" s="11"/>
    </row>
    <row r="234" customFormat="false" ht="32.8" hidden="false" customHeight="false" outlineLevel="0" collapsed="false">
      <c r="A234" s="13" t="n">
        <v>222</v>
      </c>
      <c r="B234" s="13" t="s">
        <v>313</v>
      </c>
      <c r="C234" s="13" t="s">
        <v>684</v>
      </c>
      <c r="D234" s="13" t="s">
        <v>448</v>
      </c>
      <c r="E234" s="13" t="s">
        <v>449</v>
      </c>
      <c r="F234" s="13" t="s">
        <v>450</v>
      </c>
      <c r="G234" s="13" t="s">
        <v>685</v>
      </c>
      <c r="H234" s="13" t="s">
        <v>452</v>
      </c>
      <c r="I234" s="13" t="s">
        <v>54</v>
      </c>
      <c r="J234" s="11"/>
      <c r="K234" s="12"/>
      <c r="L234" s="11"/>
      <c r="M234" s="11"/>
      <c r="N234" s="11"/>
    </row>
    <row r="235" customFormat="false" ht="32.8" hidden="false" customHeight="false" outlineLevel="0" collapsed="false">
      <c r="A235" s="10" t="n">
        <v>223</v>
      </c>
      <c r="B235" s="10" t="s">
        <v>313</v>
      </c>
      <c r="C235" s="10" t="s">
        <v>686</v>
      </c>
      <c r="D235" s="10" t="s">
        <v>448</v>
      </c>
      <c r="E235" s="10" t="s">
        <v>449</v>
      </c>
      <c r="F235" s="10" t="s">
        <v>450</v>
      </c>
      <c r="G235" s="10" t="s">
        <v>687</v>
      </c>
      <c r="H235" s="10" t="s">
        <v>452</v>
      </c>
      <c r="I235" s="10" t="s">
        <v>54</v>
      </c>
      <c r="J235" s="11"/>
      <c r="K235" s="12"/>
      <c r="L235" s="11"/>
      <c r="M235" s="11"/>
      <c r="N235" s="11"/>
    </row>
    <row r="236" customFormat="false" ht="32.8" hidden="false" customHeight="false" outlineLevel="0" collapsed="false">
      <c r="A236" s="13" t="n">
        <v>224</v>
      </c>
      <c r="B236" s="13" t="s">
        <v>313</v>
      </c>
      <c r="C236" s="13" t="s">
        <v>688</v>
      </c>
      <c r="D236" s="13" t="s">
        <v>448</v>
      </c>
      <c r="E236" s="13" t="s">
        <v>449</v>
      </c>
      <c r="F236" s="13" t="s">
        <v>450</v>
      </c>
      <c r="G236" s="13" t="s">
        <v>689</v>
      </c>
      <c r="H236" s="13" t="s">
        <v>452</v>
      </c>
      <c r="I236" s="13" t="s">
        <v>54</v>
      </c>
      <c r="J236" s="11"/>
      <c r="K236" s="12"/>
      <c r="L236" s="11"/>
      <c r="M236" s="11"/>
      <c r="N236" s="11"/>
    </row>
    <row r="237" customFormat="false" ht="32.8" hidden="false" customHeight="false" outlineLevel="0" collapsed="false">
      <c r="A237" s="10" t="n">
        <v>225</v>
      </c>
      <c r="B237" s="10" t="s">
        <v>313</v>
      </c>
      <c r="C237" s="10" t="s">
        <v>690</v>
      </c>
      <c r="D237" s="10" t="s">
        <v>448</v>
      </c>
      <c r="E237" s="10" t="s">
        <v>449</v>
      </c>
      <c r="F237" s="10" t="s">
        <v>450</v>
      </c>
      <c r="G237" s="10" t="s">
        <v>691</v>
      </c>
      <c r="H237" s="10" t="s">
        <v>452</v>
      </c>
      <c r="I237" s="10" t="s">
        <v>54</v>
      </c>
      <c r="J237" s="11"/>
      <c r="K237" s="12"/>
      <c r="L237" s="11"/>
      <c r="M237" s="11"/>
      <c r="N237" s="11"/>
    </row>
    <row r="238" customFormat="false" ht="32.8" hidden="false" customHeight="false" outlineLevel="0" collapsed="false">
      <c r="A238" s="13" t="n">
        <v>226</v>
      </c>
      <c r="B238" s="13" t="s">
        <v>313</v>
      </c>
      <c r="C238" s="13" t="s">
        <v>692</v>
      </c>
      <c r="D238" s="13" t="s">
        <v>448</v>
      </c>
      <c r="E238" s="13" t="s">
        <v>449</v>
      </c>
      <c r="F238" s="13" t="s">
        <v>450</v>
      </c>
      <c r="G238" s="13" t="s">
        <v>693</v>
      </c>
      <c r="H238" s="13" t="s">
        <v>452</v>
      </c>
      <c r="I238" s="13" t="s">
        <v>54</v>
      </c>
      <c r="J238" s="11"/>
      <c r="K238" s="12"/>
      <c r="L238" s="11"/>
      <c r="M238" s="11"/>
      <c r="N238" s="11"/>
    </row>
    <row r="239" customFormat="false" ht="32.8" hidden="false" customHeight="false" outlineLevel="0" collapsed="false">
      <c r="A239" s="10" t="n">
        <v>227</v>
      </c>
      <c r="B239" s="10" t="s">
        <v>313</v>
      </c>
      <c r="C239" s="10" t="s">
        <v>694</v>
      </c>
      <c r="D239" s="10" t="s">
        <v>448</v>
      </c>
      <c r="E239" s="10" t="s">
        <v>449</v>
      </c>
      <c r="F239" s="10" t="s">
        <v>450</v>
      </c>
      <c r="G239" s="10" t="s">
        <v>695</v>
      </c>
      <c r="H239" s="10" t="s">
        <v>452</v>
      </c>
      <c r="I239" s="10" t="s">
        <v>54</v>
      </c>
      <c r="J239" s="11"/>
      <c r="K239" s="12"/>
      <c r="L239" s="11"/>
      <c r="M239" s="11"/>
      <c r="N239" s="11"/>
    </row>
    <row r="240" customFormat="false" ht="32.8" hidden="false" customHeight="false" outlineLevel="0" collapsed="false">
      <c r="A240" s="13" t="n">
        <v>228</v>
      </c>
      <c r="B240" s="13" t="s">
        <v>371</v>
      </c>
      <c r="C240" s="13" t="s">
        <v>696</v>
      </c>
      <c r="D240" s="13" t="s">
        <v>448</v>
      </c>
      <c r="E240" s="13" t="s">
        <v>449</v>
      </c>
      <c r="F240" s="13" t="s">
        <v>450</v>
      </c>
      <c r="G240" s="13" t="s">
        <v>697</v>
      </c>
      <c r="H240" s="13" t="s">
        <v>452</v>
      </c>
      <c r="I240" s="13" t="s">
        <v>144</v>
      </c>
      <c r="J240" s="11"/>
      <c r="K240" s="12"/>
      <c r="L240" s="11"/>
      <c r="M240" s="11"/>
      <c r="N240" s="11"/>
    </row>
    <row r="241" customFormat="false" ht="32.8" hidden="false" customHeight="false" outlineLevel="0" collapsed="false">
      <c r="A241" s="10" t="n">
        <v>229</v>
      </c>
      <c r="B241" s="10" t="s">
        <v>371</v>
      </c>
      <c r="C241" s="10" t="s">
        <v>698</v>
      </c>
      <c r="D241" s="10" t="s">
        <v>448</v>
      </c>
      <c r="E241" s="10" t="s">
        <v>449</v>
      </c>
      <c r="F241" s="10" t="s">
        <v>450</v>
      </c>
      <c r="G241" s="10" t="s">
        <v>699</v>
      </c>
      <c r="H241" s="10" t="s">
        <v>452</v>
      </c>
      <c r="I241" s="10" t="s">
        <v>144</v>
      </c>
      <c r="J241" s="11"/>
      <c r="K241" s="12"/>
      <c r="L241" s="11"/>
      <c r="M241" s="11"/>
      <c r="N241" s="11"/>
    </row>
    <row r="242" customFormat="false" ht="32.8" hidden="false" customHeight="false" outlineLevel="0" collapsed="false">
      <c r="A242" s="13" t="n">
        <v>230</v>
      </c>
      <c r="B242" s="13" t="s">
        <v>371</v>
      </c>
      <c r="C242" s="13" t="s">
        <v>381</v>
      </c>
      <c r="D242" s="13" t="s">
        <v>448</v>
      </c>
      <c r="E242" s="13" t="s">
        <v>449</v>
      </c>
      <c r="F242" s="13" t="s">
        <v>450</v>
      </c>
      <c r="G242" s="13" t="s">
        <v>700</v>
      </c>
      <c r="H242" s="13" t="s">
        <v>452</v>
      </c>
      <c r="I242" s="13" t="s">
        <v>144</v>
      </c>
      <c r="J242" s="11"/>
      <c r="K242" s="12"/>
      <c r="L242" s="11"/>
      <c r="M242" s="11"/>
      <c r="N242" s="11"/>
    </row>
    <row r="243" customFormat="false" ht="32.8" hidden="false" customHeight="false" outlineLevel="0" collapsed="false">
      <c r="A243" s="10" t="n">
        <v>231</v>
      </c>
      <c r="B243" s="10" t="s">
        <v>371</v>
      </c>
      <c r="C243" s="10" t="s">
        <v>385</v>
      </c>
      <c r="D243" s="10" t="s">
        <v>448</v>
      </c>
      <c r="E243" s="10" t="s">
        <v>449</v>
      </c>
      <c r="F243" s="10" t="s">
        <v>450</v>
      </c>
      <c r="G243" s="10" t="s">
        <v>701</v>
      </c>
      <c r="H243" s="10" t="s">
        <v>452</v>
      </c>
      <c r="I243" s="10" t="s">
        <v>144</v>
      </c>
      <c r="J243" s="11"/>
      <c r="K243" s="12"/>
      <c r="L243" s="11"/>
      <c r="M243" s="11"/>
      <c r="N243" s="11"/>
    </row>
    <row r="244" customFormat="false" ht="32.8" hidden="false" customHeight="false" outlineLevel="0" collapsed="false">
      <c r="A244" s="13" t="n">
        <v>232</v>
      </c>
      <c r="B244" s="13" t="s">
        <v>371</v>
      </c>
      <c r="C244" s="13" t="s">
        <v>702</v>
      </c>
      <c r="D244" s="13" t="s">
        <v>448</v>
      </c>
      <c r="E244" s="13" t="s">
        <v>449</v>
      </c>
      <c r="F244" s="13" t="s">
        <v>450</v>
      </c>
      <c r="G244" s="13" t="s">
        <v>703</v>
      </c>
      <c r="H244" s="13" t="s">
        <v>452</v>
      </c>
      <c r="I244" s="13" t="s">
        <v>144</v>
      </c>
      <c r="J244" s="11"/>
      <c r="K244" s="12"/>
      <c r="L244" s="11"/>
      <c r="M244" s="11"/>
      <c r="N244" s="11"/>
    </row>
    <row r="245" customFormat="false" ht="32.8" hidden="false" customHeight="false" outlineLevel="0" collapsed="false">
      <c r="A245" s="10" t="n">
        <v>233</v>
      </c>
      <c r="B245" s="10" t="s">
        <v>371</v>
      </c>
      <c r="C245" s="10" t="s">
        <v>704</v>
      </c>
      <c r="D245" s="10" t="s">
        <v>448</v>
      </c>
      <c r="E245" s="10" t="s">
        <v>449</v>
      </c>
      <c r="F245" s="10" t="s">
        <v>450</v>
      </c>
      <c r="G245" s="10" t="s">
        <v>705</v>
      </c>
      <c r="H245" s="10" t="s">
        <v>452</v>
      </c>
      <c r="I245" s="10" t="s">
        <v>144</v>
      </c>
      <c r="J245" s="11"/>
      <c r="K245" s="12"/>
      <c r="L245" s="11"/>
      <c r="M245" s="11"/>
      <c r="N245" s="11"/>
    </row>
    <row r="246" customFormat="false" ht="32.8" hidden="false" customHeight="false" outlineLevel="0" collapsed="false">
      <c r="A246" s="13" t="n">
        <v>234</v>
      </c>
      <c r="B246" s="13" t="s">
        <v>371</v>
      </c>
      <c r="C246" s="13" t="s">
        <v>706</v>
      </c>
      <c r="D246" s="13" t="s">
        <v>448</v>
      </c>
      <c r="E246" s="13" t="s">
        <v>449</v>
      </c>
      <c r="F246" s="13" t="s">
        <v>450</v>
      </c>
      <c r="G246" s="13" t="s">
        <v>707</v>
      </c>
      <c r="H246" s="13" t="s">
        <v>452</v>
      </c>
      <c r="I246" s="13" t="s">
        <v>144</v>
      </c>
      <c r="J246" s="11"/>
      <c r="K246" s="12"/>
      <c r="L246" s="11"/>
      <c r="M246" s="11"/>
      <c r="N246" s="11"/>
    </row>
    <row r="247" customFormat="false" ht="32.8" hidden="false" customHeight="false" outlineLevel="0" collapsed="false">
      <c r="A247" s="10" t="n">
        <v>235</v>
      </c>
      <c r="B247" s="10" t="s">
        <v>371</v>
      </c>
      <c r="C247" s="10" t="s">
        <v>708</v>
      </c>
      <c r="D247" s="10" t="s">
        <v>448</v>
      </c>
      <c r="E247" s="10" t="s">
        <v>449</v>
      </c>
      <c r="F247" s="10" t="s">
        <v>450</v>
      </c>
      <c r="G247" s="10" t="s">
        <v>709</v>
      </c>
      <c r="H247" s="10" t="s">
        <v>452</v>
      </c>
      <c r="I247" s="10" t="s">
        <v>144</v>
      </c>
      <c r="J247" s="11"/>
      <c r="K247" s="12"/>
      <c r="L247" s="11"/>
      <c r="M247" s="11"/>
      <c r="N247" s="11"/>
    </row>
    <row r="248" customFormat="false" ht="32.8" hidden="false" customHeight="false" outlineLevel="0" collapsed="false">
      <c r="A248" s="13" t="n">
        <v>236</v>
      </c>
      <c r="B248" s="13" t="s">
        <v>371</v>
      </c>
      <c r="C248" s="13" t="s">
        <v>710</v>
      </c>
      <c r="D248" s="13" t="s">
        <v>448</v>
      </c>
      <c r="E248" s="13" t="s">
        <v>449</v>
      </c>
      <c r="F248" s="13" t="s">
        <v>450</v>
      </c>
      <c r="G248" s="13" t="s">
        <v>711</v>
      </c>
      <c r="H248" s="13" t="s">
        <v>452</v>
      </c>
      <c r="I248" s="13" t="s">
        <v>144</v>
      </c>
      <c r="J248" s="11"/>
      <c r="K248" s="12"/>
      <c r="L248" s="11"/>
      <c r="M248" s="11"/>
      <c r="N248" s="11"/>
    </row>
    <row r="249" customFormat="false" ht="32.8" hidden="false" customHeight="false" outlineLevel="0" collapsed="false">
      <c r="A249" s="10" t="n">
        <v>237</v>
      </c>
      <c r="B249" s="10" t="s">
        <v>371</v>
      </c>
      <c r="C249" s="10" t="s">
        <v>712</v>
      </c>
      <c r="D249" s="10" t="s">
        <v>448</v>
      </c>
      <c r="E249" s="10" t="s">
        <v>449</v>
      </c>
      <c r="F249" s="10" t="s">
        <v>450</v>
      </c>
      <c r="G249" s="10" t="s">
        <v>713</v>
      </c>
      <c r="H249" s="10" t="s">
        <v>452</v>
      </c>
      <c r="I249" s="10" t="s">
        <v>144</v>
      </c>
      <c r="J249" s="11"/>
      <c r="K249" s="12"/>
      <c r="L249" s="11"/>
      <c r="M249" s="11"/>
      <c r="N249" s="11"/>
    </row>
    <row r="250" customFormat="false" ht="32.8" hidden="false" customHeight="false" outlineLevel="0" collapsed="false">
      <c r="A250" s="13" t="n">
        <v>238</v>
      </c>
      <c r="B250" s="13" t="s">
        <v>371</v>
      </c>
      <c r="C250" s="13" t="s">
        <v>714</v>
      </c>
      <c r="D250" s="13" t="s">
        <v>448</v>
      </c>
      <c r="E250" s="13" t="s">
        <v>449</v>
      </c>
      <c r="F250" s="13" t="s">
        <v>450</v>
      </c>
      <c r="G250" s="13" t="s">
        <v>715</v>
      </c>
      <c r="H250" s="13" t="s">
        <v>452</v>
      </c>
      <c r="I250" s="13" t="s">
        <v>144</v>
      </c>
      <c r="J250" s="11"/>
      <c r="K250" s="12"/>
      <c r="L250" s="11"/>
      <c r="M250" s="11"/>
      <c r="N250" s="11"/>
    </row>
    <row r="251" customFormat="false" ht="32.8" hidden="false" customHeight="false" outlineLevel="0" collapsed="false">
      <c r="A251" s="10" t="n">
        <v>239</v>
      </c>
      <c r="B251" s="10" t="s">
        <v>371</v>
      </c>
      <c r="C251" s="10" t="s">
        <v>716</v>
      </c>
      <c r="D251" s="10" t="s">
        <v>448</v>
      </c>
      <c r="E251" s="10" t="s">
        <v>449</v>
      </c>
      <c r="F251" s="10" t="s">
        <v>450</v>
      </c>
      <c r="G251" s="10" t="s">
        <v>717</v>
      </c>
      <c r="H251" s="10" t="s">
        <v>452</v>
      </c>
      <c r="I251" s="10" t="s">
        <v>144</v>
      </c>
      <c r="J251" s="11"/>
      <c r="K251" s="12"/>
      <c r="L251" s="11"/>
      <c r="M251" s="11"/>
      <c r="N251" s="11"/>
    </row>
    <row r="252" customFormat="false" ht="32.8" hidden="false" customHeight="false" outlineLevel="0" collapsed="false">
      <c r="A252" s="13" t="n">
        <v>240</v>
      </c>
      <c r="B252" s="13" t="s">
        <v>371</v>
      </c>
      <c r="C252" s="13" t="s">
        <v>718</v>
      </c>
      <c r="D252" s="13" t="s">
        <v>448</v>
      </c>
      <c r="E252" s="13" t="s">
        <v>449</v>
      </c>
      <c r="F252" s="13" t="s">
        <v>450</v>
      </c>
      <c r="G252" s="13" t="s">
        <v>719</v>
      </c>
      <c r="H252" s="13" t="s">
        <v>452</v>
      </c>
      <c r="I252" s="13" t="s">
        <v>144</v>
      </c>
      <c r="J252" s="11"/>
      <c r="K252" s="12"/>
      <c r="L252" s="11"/>
      <c r="M252" s="11"/>
      <c r="N252" s="11"/>
    </row>
    <row r="253" customFormat="false" ht="32.8" hidden="false" customHeight="false" outlineLevel="0" collapsed="false">
      <c r="A253" s="10" t="n">
        <v>241</v>
      </c>
      <c r="B253" s="10" t="s">
        <v>371</v>
      </c>
      <c r="C253" s="10" t="s">
        <v>720</v>
      </c>
      <c r="D253" s="10" t="s">
        <v>448</v>
      </c>
      <c r="E253" s="10" t="s">
        <v>449</v>
      </c>
      <c r="F253" s="10" t="s">
        <v>450</v>
      </c>
      <c r="G253" s="10" t="s">
        <v>721</v>
      </c>
      <c r="H253" s="10" t="s">
        <v>452</v>
      </c>
      <c r="I253" s="10" t="s">
        <v>144</v>
      </c>
      <c r="J253" s="11"/>
      <c r="K253" s="12"/>
      <c r="L253" s="11"/>
      <c r="M253" s="11"/>
      <c r="N253" s="11"/>
    </row>
    <row r="254" customFormat="false" ht="32.8" hidden="false" customHeight="false" outlineLevel="0" collapsed="false">
      <c r="A254" s="13" t="n">
        <v>242</v>
      </c>
      <c r="B254" s="13" t="s">
        <v>371</v>
      </c>
      <c r="C254" s="13" t="s">
        <v>722</v>
      </c>
      <c r="D254" s="13" t="s">
        <v>448</v>
      </c>
      <c r="E254" s="13" t="s">
        <v>449</v>
      </c>
      <c r="F254" s="13" t="s">
        <v>450</v>
      </c>
      <c r="G254" s="13" t="s">
        <v>723</v>
      </c>
      <c r="H254" s="13" t="s">
        <v>452</v>
      </c>
      <c r="I254" s="13" t="s">
        <v>144</v>
      </c>
      <c r="J254" s="11"/>
      <c r="K254" s="12"/>
      <c r="L254" s="11"/>
      <c r="M254" s="11"/>
      <c r="N254" s="11"/>
    </row>
    <row r="255" customFormat="false" ht="32.8" hidden="false" customHeight="false" outlineLevel="0" collapsed="false">
      <c r="A255" s="10" t="n">
        <v>243</v>
      </c>
      <c r="B255" s="10" t="s">
        <v>371</v>
      </c>
      <c r="C255" s="10" t="s">
        <v>724</v>
      </c>
      <c r="D255" s="10" t="s">
        <v>448</v>
      </c>
      <c r="E255" s="10" t="s">
        <v>449</v>
      </c>
      <c r="F255" s="10" t="s">
        <v>450</v>
      </c>
      <c r="G255" s="10" t="s">
        <v>725</v>
      </c>
      <c r="H255" s="10" t="s">
        <v>452</v>
      </c>
      <c r="I255" s="10" t="s">
        <v>144</v>
      </c>
      <c r="J255" s="11"/>
      <c r="K255" s="12"/>
      <c r="L255" s="11"/>
      <c r="M255" s="11"/>
      <c r="N255" s="11"/>
    </row>
    <row r="256" customFormat="false" ht="32.8" hidden="false" customHeight="false" outlineLevel="0" collapsed="false">
      <c r="A256" s="13" t="n">
        <v>244</v>
      </c>
      <c r="B256" s="13" t="s">
        <v>371</v>
      </c>
      <c r="C256" s="13" t="s">
        <v>726</v>
      </c>
      <c r="D256" s="13" t="s">
        <v>448</v>
      </c>
      <c r="E256" s="13" t="s">
        <v>449</v>
      </c>
      <c r="F256" s="13" t="s">
        <v>450</v>
      </c>
      <c r="G256" s="13" t="s">
        <v>727</v>
      </c>
      <c r="H256" s="13" t="s">
        <v>452</v>
      </c>
      <c r="I256" s="13" t="s">
        <v>144</v>
      </c>
      <c r="J256" s="11"/>
      <c r="K256" s="12"/>
      <c r="L256" s="11"/>
      <c r="M256" s="11"/>
      <c r="N256" s="11"/>
    </row>
    <row r="257" customFormat="false" ht="32.8" hidden="false" customHeight="false" outlineLevel="0" collapsed="false">
      <c r="A257" s="10" t="n">
        <v>245</v>
      </c>
      <c r="B257" s="10" t="s">
        <v>371</v>
      </c>
      <c r="C257" s="10" t="s">
        <v>728</v>
      </c>
      <c r="D257" s="10" t="s">
        <v>448</v>
      </c>
      <c r="E257" s="10" t="s">
        <v>449</v>
      </c>
      <c r="F257" s="10" t="s">
        <v>450</v>
      </c>
      <c r="G257" s="10" t="s">
        <v>729</v>
      </c>
      <c r="H257" s="10" t="s">
        <v>452</v>
      </c>
      <c r="I257" s="10" t="s">
        <v>144</v>
      </c>
      <c r="J257" s="11"/>
      <c r="K257" s="12"/>
      <c r="L257" s="11"/>
      <c r="M257" s="11"/>
      <c r="N257" s="11"/>
    </row>
    <row r="258" customFormat="false" ht="32.8" hidden="false" customHeight="false" outlineLevel="0" collapsed="false">
      <c r="A258" s="13" t="n">
        <v>246</v>
      </c>
      <c r="B258" s="13" t="s">
        <v>371</v>
      </c>
      <c r="C258" s="13" t="s">
        <v>730</v>
      </c>
      <c r="D258" s="13" t="s">
        <v>448</v>
      </c>
      <c r="E258" s="13" t="s">
        <v>449</v>
      </c>
      <c r="F258" s="13" t="s">
        <v>450</v>
      </c>
      <c r="G258" s="13" t="s">
        <v>731</v>
      </c>
      <c r="H258" s="13" t="s">
        <v>452</v>
      </c>
      <c r="I258" s="13" t="s">
        <v>144</v>
      </c>
      <c r="J258" s="11"/>
      <c r="K258" s="12"/>
      <c r="L258" s="11"/>
      <c r="M258" s="11"/>
      <c r="N258" s="11"/>
    </row>
    <row r="259" customFormat="false" ht="32.8" hidden="false" customHeight="false" outlineLevel="0" collapsed="false">
      <c r="A259" s="10" t="n">
        <v>247</v>
      </c>
      <c r="B259" s="10" t="s">
        <v>371</v>
      </c>
      <c r="C259" s="10" t="s">
        <v>732</v>
      </c>
      <c r="D259" s="10" t="s">
        <v>448</v>
      </c>
      <c r="E259" s="10" t="s">
        <v>449</v>
      </c>
      <c r="F259" s="10" t="s">
        <v>450</v>
      </c>
      <c r="G259" s="10" t="s">
        <v>733</v>
      </c>
      <c r="H259" s="10" t="s">
        <v>452</v>
      </c>
      <c r="I259" s="10" t="s">
        <v>144</v>
      </c>
      <c r="J259" s="11"/>
      <c r="K259" s="12"/>
      <c r="L259" s="11"/>
      <c r="M259" s="11"/>
      <c r="N259" s="11"/>
    </row>
    <row r="260" customFormat="false" ht="32.8" hidden="false" customHeight="false" outlineLevel="0" collapsed="false">
      <c r="A260" s="13" t="n">
        <v>248</v>
      </c>
      <c r="B260" s="13" t="s">
        <v>371</v>
      </c>
      <c r="C260" s="13" t="s">
        <v>734</v>
      </c>
      <c r="D260" s="13" t="s">
        <v>448</v>
      </c>
      <c r="E260" s="13" t="s">
        <v>449</v>
      </c>
      <c r="F260" s="13" t="s">
        <v>450</v>
      </c>
      <c r="G260" s="13" t="s">
        <v>735</v>
      </c>
      <c r="H260" s="13" t="s">
        <v>452</v>
      </c>
      <c r="I260" s="13" t="s">
        <v>144</v>
      </c>
      <c r="J260" s="11"/>
      <c r="K260" s="12"/>
      <c r="L260" s="11"/>
      <c r="M260" s="11"/>
      <c r="N260" s="11"/>
    </row>
    <row r="261" customFormat="false" ht="32.8" hidden="false" customHeight="false" outlineLevel="0" collapsed="false">
      <c r="A261" s="10" t="n">
        <v>249</v>
      </c>
      <c r="B261" s="10" t="s">
        <v>371</v>
      </c>
      <c r="C261" s="10" t="s">
        <v>736</v>
      </c>
      <c r="D261" s="10" t="s">
        <v>448</v>
      </c>
      <c r="E261" s="10" t="s">
        <v>449</v>
      </c>
      <c r="F261" s="10" t="s">
        <v>450</v>
      </c>
      <c r="G261" s="10" t="s">
        <v>737</v>
      </c>
      <c r="H261" s="10" t="s">
        <v>452</v>
      </c>
      <c r="I261" s="10" t="s">
        <v>144</v>
      </c>
      <c r="J261" s="11"/>
      <c r="K261" s="12"/>
      <c r="L261" s="11"/>
      <c r="M261" s="11"/>
      <c r="N261" s="11"/>
    </row>
    <row r="262" customFormat="false" ht="32.8" hidden="false" customHeight="false" outlineLevel="0" collapsed="false">
      <c r="A262" s="13" t="n">
        <v>250</v>
      </c>
      <c r="B262" s="13" t="s">
        <v>371</v>
      </c>
      <c r="C262" s="13" t="s">
        <v>738</v>
      </c>
      <c r="D262" s="13" t="s">
        <v>448</v>
      </c>
      <c r="E262" s="13" t="s">
        <v>449</v>
      </c>
      <c r="F262" s="13" t="s">
        <v>450</v>
      </c>
      <c r="G262" s="13" t="s">
        <v>739</v>
      </c>
      <c r="H262" s="13" t="s">
        <v>452</v>
      </c>
      <c r="I262" s="13" t="s">
        <v>144</v>
      </c>
      <c r="J262" s="11"/>
      <c r="K262" s="12"/>
      <c r="L262" s="11"/>
      <c r="M262" s="11"/>
      <c r="N262" s="11"/>
    </row>
    <row r="263" customFormat="false" ht="32.8" hidden="false" customHeight="false" outlineLevel="0" collapsed="false">
      <c r="A263" s="10" t="n">
        <v>251</v>
      </c>
      <c r="B263" s="10" t="s">
        <v>371</v>
      </c>
      <c r="C263" s="10" t="s">
        <v>740</v>
      </c>
      <c r="D263" s="10" t="s">
        <v>448</v>
      </c>
      <c r="E263" s="10" t="s">
        <v>449</v>
      </c>
      <c r="F263" s="10" t="s">
        <v>450</v>
      </c>
      <c r="G263" s="10" t="s">
        <v>741</v>
      </c>
      <c r="H263" s="10" t="s">
        <v>452</v>
      </c>
      <c r="I263" s="10" t="s">
        <v>144</v>
      </c>
      <c r="J263" s="11"/>
      <c r="K263" s="12"/>
      <c r="L263" s="11"/>
      <c r="M263" s="11"/>
      <c r="N263" s="11"/>
    </row>
    <row r="264" customFormat="false" ht="32.8" hidden="false" customHeight="false" outlineLevel="0" collapsed="false">
      <c r="A264" s="13" t="n">
        <v>252</v>
      </c>
      <c r="B264" s="13" t="s">
        <v>371</v>
      </c>
      <c r="C264" s="13" t="s">
        <v>742</v>
      </c>
      <c r="D264" s="13" t="s">
        <v>448</v>
      </c>
      <c r="E264" s="13" t="s">
        <v>449</v>
      </c>
      <c r="F264" s="13" t="s">
        <v>450</v>
      </c>
      <c r="G264" s="13" t="s">
        <v>743</v>
      </c>
      <c r="H264" s="13" t="s">
        <v>452</v>
      </c>
      <c r="I264" s="13" t="s">
        <v>144</v>
      </c>
      <c r="J264" s="11"/>
      <c r="K264" s="12"/>
      <c r="L264" s="11"/>
      <c r="M264" s="11"/>
      <c r="N264" s="11"/>
    </row>
    <row r="265" customFormat="false" ht="32.8" hidden="false" customHeight="false" outlineLevel="0" collapsed="false">
      <c r="A265" s="10" t="n">
        <v>253</v>
      </c>
      <c r="B265" s="10" t="s">
        <v>371</v>
      </c>
      <c r="C265" s="10" t="s">
        <v>744</v>
      </c>
      <c r="D265" s="10" t="s">
        <v>448</v>
      </c>
      <c r="E265" s="10" t="s">
        <v>449</v>
      </c>
      <c r="F265" s="10" t="s">
        <v>450</v>
      </c>
      <c r="G265" s="10" t="s">
        <v>745</v>
      </c>
      <c r="H265" s="10" t="s">
        <v>452</v>
      </c>
      <c r="I265" s="10" t="s">
        <v>144</v>
      </c>
      <c r="J265" s="11"/>
      <c r="K265" s="12"/>
      <c r="L265" s="11"/>
      <c r="M265" s="11"/>
      <c r="N265" s="11"/>
    </row>
    <row r="266" customFormat="false" ht="32.8" hidden="false" customHeight="false" outlineLevel="0" collapsed="false">
      <c r="A266" s="13" t="n">
        <v>254</v>
      </c>
      <c r="B266" s="13" t="s">
        <v>371</v>
      </c>
      <c r="C266" s="13" t="s">
        <v>746</v>
      </c>
      <c r="D266" s="13" t="s">
        <v>448</v>
      </c>
      <c r="E266" s="13" t="s">
        <v>449</v>
      </c>
      <c r="F266" s="13" t="s">
        <v>450</v>
      </c>
      <c r="G266" s="13" t="s">
        <v>747</v>
      </c>
      <c r="H266" s="13" t="s">
        <v>452</v>
      </c>
      <c r="I266" s="13" t="s">
        <v>144</v>
      </c>
      <c r="J266" s="11"/>
      <c r="K266" s="12"/>
      <c r="L266" s="11"/>
      <c r="M266" s="11"/>
      <c r="N266" s="11"/>
    </row>
    <row r="267" customFormat="false" ht="32.8" hidden="false" customHeight="false" outlineLevel="0" collapsed="false">
      <c r="A267" s="10" t="n">
        <v>255</v>
      </c>
      <c r="B267" s="10" t="s">
        <v>371</v>
      </c>
      <c r="C267" s="10" t="s">
        <v>748</v>
      </c>
      <c r="D267" s="10" t="s">
        <v>448</v>
      </c>
      <c r="E267" s="10" t="s">
        <v>449</v>
      </c>
      <c r="F267" s="10" t="s">
        <v>450</v>
      </c>
      <c r="G267" s="10" t="s">
        <v>749</v>
      </c>
      <c r="H267" s="10" t="s">
        <v>452</v>
      </c>
      <c r="I267" s="10" t="s">
        <v>144</v>
      </c>
      <c r="J267" s="11"/>
      <c r="K267" s="12"/>
      <c r="L267" s="11"/>
      <c r="M267" s="11"/>
      <c r="N267" s="11"/>
    </row>
    <row r="268" customFormat="false" ht="32.8" hidden="false" customHeight="false" outlineLevel="0" collapsed="false">
      <c r="A268" s="13" t="n">
        <v>256</v>
      </c>
      <c r="B268" s="13" t="s">
        <v>371</v>
      </c>
      <c r="C268" s="13" t="s">
        <v>750</v>
      </c>
      <c r="D268" s="13" t="s">
        <v>448</v>
      </c>
      <c r="E268" s="13" t="s">
        <v>449</v>
      </c>
      <c r="F268" s="13" t="s">
        <v>450</v>
      </c>
      <c r="G268" s="13" t="s">
        <v>751</v>
      </c>
      <c r="H268" s="13" t="s">
        <v>452</v>
      </c>
      <c r="I268" s="13" t="s">
        <v>144</v>
      </c>
      <c r="J268" s="11"/>
      <c r="K268" s="12"/>
      <c r="L268" s="11"/>
      <c r="M268" s="11"/>
      <c r="N268" s="11"/>
    </row>
    <row r="269" customFormat="false" ht="32.8" hidden="false" customHeight="false" outlineLevel="0" collapsed="false">
      <c r="A269" s="10" t="n">
        <v>257</v>
      </c>
      <c r="B269" s="10" t="s">
        <v>371</v>
      </c>
      <c r="C269" s="10" t="s">
        <v>752</v>
      </c>
      <c r="D269" s="10" t="s">
        <v>448</v>
      </c>
      <c r="E269" s="10" t="s">
        <v>449</v>
      </c>
      <c r="F269" s="10" t="s">
        <v>450</v>
      </c>
      <c r="G269" s="10" t="s">
        <v>753</v>
      </c>
      <c r="H269" s="10" t="s">
        <v>452</v>
      </c>
      <c r="I269" s="10" t="s">
        <v>144</v>
      </c>
      <c r="J269" s="11"/>
      <c r="K269" s="12"/>
      <c r="L269" s="11"/>
      <c r="M269" s="11"/>
      <c r="N269" s="11"/>
    </row>
    <row r="270" customFormat="false" ht="32.8" hidden="false" customHeight="false" outlineLevel="0" collapsed="false">
      <c r="A270" s="13" t="n">
        <v>258</v>
      </c>
      <c r="B270" s="13" t="s">
        <v>371</v>
      </c>
      <c r="C270" s="13" t="s">
        <v>372</v>
      </c>
      <c r="D270" s="13" t="s">
        <v>448</v>
      </c>
      <c r="E270" s="13" t="s">
        <v>449</v>
      </c>
      <c r="F270" s="13" t="s">
        <v>450</v>
      </c>
      <c r="G270" s="13" t="s">
        <v>754</v>
      </c>
      <c r="H270" s="13" t="s">
        <v>452</v>
      </c>
      <c r="I270" s="13" t="s">
        <v>144</v>
      </c>
      <c r="J270" s="11"/>
      <c r="K270" s="12"/>
      <c r="L270" s="11"/>
      <c r="M270" s="11"/>
      <c r="N270" s="11"/>
    </row>
    <row r="271" customFormat="false" ht="32.8" hidden="false" customHeight="false" outlineLevel="0" collapsed="false">
      <c r="A271" s="10" t="n">
        <v>259</v>
      </c>
      <c r="B271" s="10" t="s">
        <v>755</v>
      </c>
      <c r="C271" s="10" t="s">
        <v>756</v>
      </c>
      <c r="D271" s="10" t="s">
        <v>448</v>
      </c>
      <c r="E271" s="10" t="s">
        <v>449</v>
      </c>
      <c r="F271" s="10" t="s">
        <v>450</v>
      </c>
      <c r="G271" s="10" t="s">
        <v>757</v>
      </c>
      <c r="H271" s="10" t="s">
        <v>452</v>
      </c>
      <c r="I271" s="10" t="s">
        <v>144</v>
      </c>
      <c r="J271" s="11"/>
      <c r="K271" s="12"/>
      <c r="L271" s="11"/>
      <c r="M271" s="11"/>
      <c r="N271" s="11"/>
    </row>
    <row r="272" customFormat="false" ht="32.8" hidden="false" customHeight="false" outlineLevel="0" collapsed="false">
      <c r="A272" s="13" t="n">
        <v>260</v>
      </c>
      <c r="B272" s="13" t="s">
        <v>755</v>
      </c>
      <c r="C272" s="13" t="s">
        <v>758</v>
      </c>
      <c r="D272" s="13" t="s">
        <v>448</v>
      </c>
      <c r="E272" s="13" t="s">
        <v>449</v>
      </c>
      <c r="F272" s="13" t="s">
        <v>450</v>
      </c>
      <c r="G272" s="13" t="s">
        <v>759</v>
      </c>
      <c r="H272" s="13" t="s">
        <v>452</v>
      </c>
      <c r="I272" s="13" t="s">
        <v>144</v>
      </c>
      <c r="J272" s="11"/>
      <c r="K272" s="12"/>
      <c r="L272" s="11"/>
      <c r="M272" s="11"/>
      <c r="N272" s="11"/>
    </row>
    <row r="273" customFormat="false" ht="32.8" hidden="false" customHeight="false" outlineLevel="0" collapsed="false">
      <c r="A273" s="10" t="n">
        <v>261</v>
      </c>
      <c r="B273" s="10" t="s">
        <v>348</v>
      </c>
      <c r="C273" s="10" t="s">
        <v>760</v>
      </c>
      <c r="D273" s="10" t="s">
        <v>448</v>
      </c>
      <c r="E273" s="10" t="s">
        <v>449</v>
      </c>
      <c r="F273" s="10" t="s">
        <v>450</v>
      </c>
      <c r="G273" s="10" t="s">
        <v>761</v>
      </c>
      <c r="H273" s="10" t="s">
        <v>452</v>
      </c>
      <c r="I273" s="10" t="s">
        <v>144</v>
      </c>
      <c r="J273" s="11"/>
      <c r="K273" s="12"/>
      <c r="L273" s="11"/>
      <c r="M273" s="11"/>
      <c r="N273" s="11"/>
    </row>
    <row r="274" customFormat="false" ht="32.8" hidden="false" customHeight="false" outlineLevel="0" collapsed="false">
      <c r="A274" s="13" t="n">
        <v>262</v>
      </c>
      <c r="B274" s="13" t="s">
        <v>348</v>
      </c>
      <c r="C274" s="13" t="s">
        <v>349</v>
      </c>
      <c r="D274" s="13" t="s">
        <v>448</v>
      </c>
      <c r="E274" s="13" t="s">
        <v>449</v>
      </c>
      <c r="F274" s="13" t="s">
        <v>450</v>
      </c>
      <c r="G274" s="13" t="s">
        <v>762</v>
      </c>
      <c r="H274" s="13" t="s">
        <v>452</v>
      </c>
      <c r="I274" s="13" t="s">
        <v>144</v>
      </c>
      <c r="J274" s="11"/>
      <c r="K274" s="12"/>
      <c r="L274" s="11"/>
      <c r="M274" s="11"/>
      <c r="N274" s="11"/>
    </row>
    <row r="275" customFormat="false" ht="32.8" hidden="false" customHeight="false" outlineLevel="0" collapsed="false">
      <c r="A275" s="10" t="n">
        <v>263</v>
      </c>
      <c r="B275" s="10" t="s">
        <v>348</v>
      </c>
      <c r="C275" s="10" t="s">
        <v>763</v>
      </c>
      <c r="D275" s="10" t="s">
        <v>448</v>
      </c>
      <c r="E275" s="10" t="s">
        <v>449</v>
      </c>
      <c r="F275" s="10" t="s">
        <v>450</v>
      </c>
      <c r="G275" s="10" t="s">
        <v>764</v>
      </c>
      <c r="H275" s="10" t="s">
        <v>452</v>
      </c>
      <c r="I275" s="10" t="s">
        <v>144</v>
      </c>
      <c r="J275" s="11"/>
      <c r="K275" s="12"/>
      <c r="L275" s="11"/>
      <c r="M275" s="11"/>
      <c r="N275" s="11"/>
    </row>
    <row r="276" customFormat="false" ht="32.8" hidden="false" customHeight="false" outlineLevel="0" collapsed="false">
      <c r="A276" s="13" t="n">
        <v>264</v>
      </c>
      <c r="B276" s="13" t="s">
        <v>348</v>
      </c>
      <c r="C276" s="13" t="s">
        <v>765</v>
      </c>
      <c r="D276" s="13" t="s">
        <v>448</v>
      </c>
      <c r="E276" s="13" t="s">
        <v>449</v>
      </c>
      <c r="F276" s="13" t="s">
        <v>450</v>
      </c>
      <c r="G276" s="13" t="s">
        <v>766</v>
      </c>
      <c r="H276" s="13" t="s">
        <v>452</v>
      </c>
      <c r="I276" s="13" t="s">
        <v>144</v>
      </c>
      <c r="J276" s="11"/>
      <c r="K276" s="12"/>
      <c r="L276" s="11"/>
      <c r="M276" s="11"/>
      <c r="N276" s="11"/>
    </row>
    <row r="277" customFormat="false" ht="32.8" hidden="false" customHeight="false" outlineLevel="0" collapsed="false">
      <c r="A277" s="10" t="n">
        <v>265</v>
      </c>
      <c r="B277" s="10" t="s">
        <v>348</v>
      </c>
      <c r="C277" s="10" t="s">
        <v>767</v>
      </c>
      <c r="D277" s="10" t="s">
        <v>448</v>
      </c>
      <c r="E277" s="10" t="s">
        <v>449</v>
      </c>
      <c r="F277" s="10" t="s">
        <v>450</v>
      </c>
      <c r="G277" s="10" t="s">
        <v>768</v>
      </c>
      <c r="H277" s="10" t="s">
        <v>452</v>
      </c>
      <c r="I277" s="10" t="s">
        <v>144</v>
      </c>
      <c r="J277" s="11"/>
      <c r="K277" s="12"/>
      <c r="L277" s="11"/>
      <c r="M277" s="11"/>
      <c r="N277" s="11"/>
    </row>
    <row r="278" customFormat="false" ht="32.8" hidden="false" customHeight="false" outlineLevel="0" collapsed="false">
      <c r="A278" s="13" t="n">
        <v>266</v>
      </c>
      <c r="B278" s="13" t="s">
        <v>348</v>
      </c>
      <c r="C278" s="13" t="s">
        <v>357</v>
      </c>
      <c r="D278" s="13" t="s">
        <v>448</v>
      </c>
      <c r="E278" s="13" t="s">
        <v>449</v>
      </c>
      <c r="F278" s="13" t="s">
        <v>450</v>
      </c>
      <c r="G278" s="13" t="s">
        <v>769</v>
      </c>
      <c r="H278" s="13" t="s">
        <v>452</v>
      </c>
      <c r="I278" s="13" t="s">
        <v>144</v>
      </c>
      <c r="J278" s="11"/>
      <c r="K278" s="12"/>
      <c r="L278" s="11"/>
      <c r="M278" s="11"/>
      <c r="N278" s="11"/>
    </row>
    <row r="279" customFormat="false" ht="32.8" hidden="false" customHeight="false" outlineLevel="0" collapsed="false">
      <c r="A279" s="10" t="n">
        <v>267</v>
      </c>
      <c r="B279" s="10" t="s">
        <v>348</v>
      </c>
      <c r="C279" s="10" t="s">
        <v>770</v>
      </c>
      <c r="D279" s="10" t="s">
        <v>448</v>
      </c>
      <c r="E279" s="10" t="s">
        <v>449</v>
      </c>
      <c r="F279" s="10" t="s">
        <v>450</v>
      </c>
      <c r="G279" s="10" t="s">
        <v>771</v>
      </c>
      <c r="H279" s="10" t="s">
        <v>452</v>
      </c>
      <c r="I279" s="10" t="s">
        <v>144</v>
      </c>
      <c r="J279" s="11"/>
      <c r="K279" s="12"/>
      <c r="L279" s="11"/>
      <c r="M279" s="11"/>
      <c r="N279" s="11"/>
    </row>
    <row r="280" customFormat="false" ht="32.8" hidden="false" customHeight="false" outlineLevel="0" collapsed="false">
      <c r="A280" s="13" t="n">
        <v>268</v>
      </c>
      <c r="B280" s="13" t="s">
        <v>348</v>
      </c>
      <c r="C280" s="13" t="s">
        <v>772</v>
      </c>
      <c r="D280" s="13" t="s">
        <v>448</v>
      </c>
      <c r="E280" s="13" t="s">
        <v>449</v>
      </c>
      <c r="F280" s="13" t="s">
        <v>450</v>
      </c>
      <c r="G280" s="13" t="s">
        <v>773</v>
      </c>
      <c r="H280" s="13" t="s">
        <v>452</v>
      </c>
      <c r="I280" s="13" t="s">
        <v>144</v>
      </c>
      <c r="J280" s="11"/>
      <c r="K280" s="12"/>
      <c r="L280" s="11"/>
      <c r="M280" s="11"/>
      <c r="N280" s="11"/>
    </row>
    <row r="281" customFormat="false" ht="32.8" hidden="false" customHeight="false" outlineLevel="0" collapsed="false">
      <c r="A281" s="10" t="n">
        <v>269</v>
      </c>
      <c r="B281" s="10" t="s">
        <v>348</v>
      </c>
      <c r="C281" s="10" t="s">
        <v>774</v>
      </c>
      <c r="D281" s="10" t="s">
        <v>448</v>
      </c>
      <c r="E281" s="10" t="s">
        <v>449</v>
      </c>
      <c r="F281" s="10" t="s">
        <v>450</v>
      </c>
      <c r="G281" s="10" t="s">
        <v>775</v>
      </c>
      <c r="H281" s="10" t="s">
        <v>452</v>
      </c>
      <c r="I281" s="10" t="s">
        <v>144</v>
      </c>
      <c r="J281" s="11"/>
      <c r="K281" s="12"/>
      <c r="L281" s="11"/>
      <c r="M281" s="11"/>
      <c r="N281" s="11"/>
    </row>
    <row r="282" customFormat="false" ht="32.8" hidden="false" customHeight="false" outlineLevel="0" collapsed="false">
      <c r="A282" s="13" t="n">
        <v>270</v>
      </c>
      <c r="B282" s="13" t="s">
        <v>348</v>
      </c>
      <c r="C282" s="13" t="s">
        <v>776</v>
      </c>
      <c r="D282" s="13" t="s">
        <v>448</v>
      </c>
      <c r="E282" s="13" t="s">
        <v>449</v>
      </c>
      <c r="F282" s="13" t="s">
        <v>450</v>
      </c>
      <c r="G282" s="13" t="s">
        <v>777</v>
      </c>
      <c r="H282" s="13" t="s">
        <v>452</v>
      </c>
      <c r="I282" s="13" t="s">
        <v>144</v>
      </c>
      <c r="J282" s="11"/>
      <c r="K282" s="12"/>
      <c r="L282" s="11"/>
      <c r="M282" s="11"/>
      <c r="N282" s="11"/>
    </row>
    <row r="283" customFormat="false" ht="32.8" hidden="false" customHeight="false" outlineLevel="0" collapsed="false">
      <c r="A283" s="10" t="n">
        <v>271</v>
      </c>
      <c r="B283" s="10" t="s">
        <v>348</v>
      </c>
      <c r="C283" s="10" t="s">
        <v>778</v>
      </c>
      <c r="D283" s="10" t="s">
        <v>448</v>
      </c>
      <c r="E283" s="10" t="s">
        <v>449</v>
      </c>
      <c r="F283" s="10" t="s">
        <v>450</v>
      </c>
      <c r="G283" s="10" t="s">
        <v>779</v>
      </c>
      <c r="H283" s="10" t="s">
        <v>452</v>
      </c>
      <c r="I283" s="10" t="s">
        <v>144</v>
      </c>
      <c r="J283" s="11"/>
      <c r="K283" s="12"/>
      <c r="L283" s="11"/>
      <c r="M283" s="11"/>
      <c r="N283" s="11"/>
    </row>
    <row r="284" customFormat="false" ht="32.8" hidden="false" customHeight="false" outlineLevel="0" collapsed="false">
      <c r="A284" s="13" t="n">
        <v>272</v>
      </c>
      <c r="B284" s="13" t="s">
        <v>348</v>
      </c>
      <c r="C284" s="13" t="s">
        <v>780</v>
      </c>
      <c r="D284" s="13" t="s">
        <v>448</v>
      </c>
      <c r="E284" s="13" t="s">
        <v>449</v>
      </c>
      <c r="F284" s="13" t="s">
        <v>450</v>
      </c>
      <c r="G284" s="13" t="s">
        <v>781</v>
      </c>
      <c r="H284" s="13" t="s">
        <v>452</v>
      </c>
      <c r="I284" s="13" t="s">
        <v>144</v>
      </c>
      <c r="J284" s="11"/>
      <c r="K284" s="12"/>
      <c r="L284" s="11"/>
      <c r="M284" s="11"/>
      <c r="N284" s="11"/>
    </row>
    <row r="285" customFormat="false" ht="32.8" hidden="false" customHeight="false" outlineLevel="0" collapsed="false">
      <c r="A285" s="10" t="n">
        <v>273</v>
      </c>
      <c r="B285" s="10" t="s">
        <v>348</v>
      </c>
      <c r="C285" s="10" t="s">
        <v>782</v>
      </c>
      <c r="D285" s="10" t="s">
        <v>448</v>
      </c>
      <c r="E285" s="10" t="s">
        <v>449</v>
      </c>
      <c r="F285" s="10" t="s">
        <v>450</v>
      </c>
      <c r="G285" s="10" t="s">
        <v>783</v>
      </c>
      <c r="H285" s="10" t="s">
        <v>452</v>
      </c>
      <c r="I285" s="10" t="s">
        <v>144</v>
      </c>
      <c r="J285" s="11"/>
      <c r="K285" s="12"/>
      <c r="L285" s="11"/>
      <c r="M285" s="11"/>
      <c r="N285" s="11"/>
    </row>
    <row r="286" customFormat="false" ht="32.8" hidden="false" customHeight="false" outlineLevel="0" collapsed="false">
      <c r="A286" s="13" t="n">
        <v>274</v>
      </c>
      <c r="B286" s="13" t="s">
        <v>348</v>
      </c>
      <c r="C286" s="13" t="s">
        <v>784</v>
      </c>
      <c r="D286" s="13" t="s">
        <v>448</v>
      </c>
      <c r="E286" s="13" t="s">
        <v>449</v>
      </c>
      <c r="F286" s="13" t="s">
        <v>450</v>
      </c>
      <c r="G286" s="13" t="s">
        <v>785</v>
      </c>
      <c r="H286" s="13" t="s">
        <v>452</v>
      </c>
      <c r="I286" s="13" t="s">
        <v>144</v>
      </c>
      <c r="J286" s="11"/>
      <c r="K286" s="12"/>
      <c r="L286" s="11"/>
      <c r="M286" s="11"/>
      <c r="N286" s="11"/>
    </row>
    <row r="287" customFormat="false" ht="32.8" hidden="false" customHeight="false" outlineLevel="0" collapsed="false">
      <c r="A287" s="10" t="n">
        <v>275</v>
      </c>
      <c r="B287" s="10" t="s">
        <v>348</v>
      </c>
      <c r="C287" s="10" t="s">
        <v>786</v>
      </c>
      <c r="D287" s="10" t="s">
        <v>448</v>
      </c>
      <c r="E287" s="10" t="s">
        <v>449</v>
      </c>
      <c r="F287" s="10" t="s">
        <v>450</v>
      </c>
      <c r="G287" s="10" t="s">
        <v>787</v>
      </c>
      <c r="H287" s="10" t="s">
        <v>452</v>
      </c>
      <c r="I287" s="10" t="s">
        <v>144</v>
      </c>
      <c r="J287" s="11"/>
      <c r="K287" s="12"/>
      <c r="L287" s="11"/>
      <c r="M287" s="11"/>
      <c r="N287" s="11"/>
    </row>
    <row r="288" customFormat="false" ht="32.8" hidden="false" customHeight="false" outlineLevel="0" collapsed="false">
      <c r="A288" s="13" t="n">
        <v>276</v>
      </c>
      <c r="B288" s="13" t="s">
        <v>348</v>
      </c>
      <c r="C288" s="13" t="s">
        <v>788</v>
      </c>
      <c r="D288" s="13" t="s">
        <v>448</v>
      </c>
      <c r="E288" s="13" t="s">
        <v>449</v>
      </c>
      <c r="F288" s="13" t="s">
        <v>450</v>
      </c>
      <c r="G288" s="13" t="s">
        <v>789</v>
      </c>
      <c r="H288" s="13" t="s">
        <v>452</v>
      </c>
      <c r="I288" s="13" t="s">
        <v>144</v>
      </c>
      <c r="J288" s="11"/>
      <c r="K288" s="12"/>
      <c r="L288" s="11"/>
      <c r="M288" s="11"/>
      <c r="N288" s="11"/>
    </row>
    <row r="289" customFormat="false" ht="32.8" hidden="false" customHeight="false" outlineLevel="0" collapsed="false">
      <c r="A289" s="10" t="n">
        <v>277</v>
      </c>
      <c r="B289" s="10" t="s">
        <v>348</v>
      </c>
      <c r="C289" s="10" t="s">
        <v>790</v>
      </c>
      <c r="D289" s="10" t="s">
        <v>448</v>
      </c>
      <c r="E289" s="10" t="s">
        <v>449</v>
      </c>
      <c r="F289" s="10" t="s">
        <v>450</v>
      </c>
      <c r="G289" s="10" t="s">
        <v>791</v>
      </c>
      <c r="H289" s="10" t="s">
        <v>452</v>
      </c>
      <c r="I289" s="10" t="s">
        <v>144</v>
      </c>
      <c r="J289" s="11"/>
      <c r="K289" s="12"/>
      <c r="L289" s="11"/>
      <c r="M289" s="11"/>
      <c r="N289" s="11"/>
    </row>
    <row r="290" customFormat="false" ht="32.8" hidden="false" customHeight="false" outlineLevel="0" collapsed="false">
      <c r="A290" s="13" t="n">
        <v>278</v>
      </c>
      <c r="B290" s="13" t="s">
        <v>348</v>
      </c>
      <c r="C290" s="13" t="s">
        <v>792</v>
      </c>
      <c r="D290" s="13" t="s">
        <v>448</v>
      </c>
      <c r="E290" s="13" t="s">
        <v>449</v>
      </c>
      <c r="F290" s="13" t="s">
        <v>450</v>
      </c>
      <c r="G290" s="13" t="s">
        <v>793</v>
      </c>
      <c r="H290" s="13" t="s">
        <v>452</v>
      </c>
      <c r="I290" s="13" t="s">
        <v>144</v>
      </c>
      <c r="J290" s="11"/>
      <c r="K290" s="12"/>
      <c r="L290" s="11"/>
      <c r="M290" s="11"/>
      <c r="N290" s="11"/>
    </row>
    <row r="291" customFormat="false" ht="32.8" hidden="false" customHeight="false" outlineLevel="0" collapsed="false">
      <c r="A291" s="10" t="n">
        <v>279</v>
      </c>
      <c r="B291" s="10" t="s">
        <v>348</v>
      </c>
      <c r="C291" s="10" t="s">
        <v>794</v>
      </c>
      <c r="D291" s="10" t="s">
        <v>448</v>
      </c>
      <c r="E291" s="10" t="s">
        <v>449</v>
      </c>
      <c r="F291" s="10" t="s">
        <v>450</v>
      </c>
      <c r="G291" s="10" t="s">
        <v>795</v>
      </c>
      <c r="H291" s="10" t="s">
        <v>452</v>
      </c>
      <c r="I291" s="10" t="s">
        <v>144</v>
      </c>
      <c r="J291" s="11"/>
      <c r="K291" s="12"/>
      <c r="L291" s="11"/>
      <c r="M291" s="11"/>
      <c r="N291" s="11"/>
    </row>
    <row r="292" customFormat="false" ht="32.8" hidden="false" customHeight="false" outlineLevel="0" collapsed="false">
      <c r="A292" s="13" t="n">
        <v>280</v>
      </c>
      <c r="B292" s="13" t="s">
        <v>348</v>
      </c>
      <c r="C292" s="13" t="s">
        <v>796</v>
      </c>
      <c r="D292" s="13" t="s">
        <v>448</v>
      </c>
      <c r="E292" s="13" t="s">
        <v>449</v>
      </c>
      <c r="F292" s="13" t="s">
        <v>450</v>
      </c>
      <c r="G292" s="13" t="s">
        <v>797</v>
      </c>
      <c r="H292" s="13" t="s">
        <v>452</v>
      </c>
      <c r="I292" s="13" t="s">
        <v>144</v>
      </c>
      <c r="J292" s="11"/>
      <c r="K292" s="12"/>
      <c r="L292" s="11"/>
      <c r="M292" s="11"/>
      <c r="N292" s="11"/>
    </row>
    <row r="293" customFormat="false" ht="32.8" hidden="false" customHeight="false" outlineLevel="0" collapsed="false">
      <c r="A293" s="10" t="n">
        <v>281</v>
      </c>
      <c r="B293" s="10" t="s">
        <v>348</v>
      </c>
      <c r="C293" s="10" t="s">
        <v>798</v>
      </c>
      <c r="D293" s="10" t="s">
        <v>448</v>
      </c>
      <c r="E293" s="10" t="s">
        <v>449</v>
      </c>
      <c r="F293" s="10" t="s">
        <v>450</v>
      </c>
      <c r="G293" s="10" t="s">
        <v>799</v>
      </c>
      <c r="H293" s="10" t="s">
        <v>452</v>
      </c>
      <c r="I293" s="10" t="s">
        <v>144</v>
      </c>
      <c r="J293" s="11"/>
      <c r="K293" s="12"/>
      <c r="L293" s="11"/>
      <c r="M293" s="11"/>
      <c r="N293" s="11"/>
    </row>
    <row r="294" customFormat="false" ht="32.8" hidden="false" customHeight="false" outlineLevel="0" collapsed="false">
      <c r="A294" s="13" t="n">
        <v>282</v>
      </c>
      <c r="B294" s="13" t="s">
        <v>348</v>
      </c>
      <c r="C294" s="13" t="s">
        <v>800</v>
      </c>
      <c r="D294" s="13" t="s">
        <v>448</v>
      </c>
      <c r="E294" s="13" t="s">
        <v>449</v>
      </c>
      <c r="F294" s="13" t="s">
        <v>450</v>
      </c>
      <c r="G294" s="13" t="s">
        <v>801</v>
      </c>
      <c r="H294" s="13" t="s">
        <v>452</v>
      </c>
      <c r="I294" s="13" t="s">
        <v>144</v>
      </c>
      <c r="J294" s="11"/>
      <c r="K294" s="12"/>
      <c r="L294" s="11"/>
      <c r="M294" s="11"/>
      <c r="N294" s="11"/>
    </row>
    <row r="295" customFormat="false" ht="32.8" hidden="false" customHeight="false" outlineLevel="0" collapsed="false">
      <c r="A295" s="10" t="n">
        <v>283</v>
      </c>
      <c r="B295" s="10" t="s">
        <v>348</v>
      </c>
      <c r="C295" s="10" t="s">
        <v>802</v>
      </c>
      <c r="D295" s="10" t="s">
        <v>448</v>
      </c>
      <c r="E295" s="10" t="s">
        <v>449</v>
      </c>
      <c r="F295" s="10" t="s">
        <v>450</v>
      </c>
      <c r="G295" s="10" t="s">
        <v>803</v>
      </c>
      <c r="H295" s="10" t="s">
        <v>452</v>
      </c>
      <c r="I295" s="10" t="s">
        <v>144</v>
      </c>
      <c r="J295" s="11"/>
      <c r="K295" s="12"/>
      <c r="L295" s="11"/>
      <c r="M295" s="11"/>
      <c r="N295" s="11"/>
    </row>
    <row r="296" customFormat="false" ht="32.8" hidden="false" customHeight="false" outlineLevel="0" collapsed="false">
      <c r="A296" s="13" t="n">
        <v>284</v>
      </c>
      <c r="B296" s="13" t="s">
        <v>348</v>
      </c>
      <c r="C296" s="13" t="s">
        <v>804</v>
      </c>
      <c r="D296" s="13" t="s">
        <v>448</v>
      </c>
      <c r="E296" s="13" t="s">
        <v>449</v>
      </c>
      <c r="F296" s="13" t="s">
        <v>450</v>
      </c>
      <c r="G296" s="13" t="s">
        <v>805</v>
      </c>
      <c r="H296" s="13" t="s">
        <v>452</v>
      </c>
      <c r="I296" s="13" t="s">
        <v>144</v>
      </c>
      <c r="J296" s="11"/>
      <c r="K296" s="12"/>
      <c r="L296" s="11"/>
      <c r="M296" s="11"/>
      <c r="N296" s="11"/>
    </row>
    <row r="297" customFormat="false" ht="32.8" hidden="false" customHeight="false" outlineLevel="0" collapsed="false">
      <c r="A297" s="10" t="n">
        <v>285</v>
      </c>
      <c r="B297" s="10" t="s">
        <v>348</v>
      </c>
      <c r="C297" s="10" t="s">
        <v>806</v>
      </c>
      <c r="D297" s="10" t="s">
        <v>448</v>
      </c>
      <c r="E297" s="10" t="s">
        <v>449</v>
      </c>
      <c r="F297" s="10" t="s">
        <v>450</v>
      </c>
      <c r="G297" s="10" t="s">
        <v>807</v>
      </c>
      <c r="H297" s="10" t="s">
        <v>452</v>
      </c>
      <c r="I297" s="10" t="s">
        <v>144</v>
      </c>
      <c r="J297" s="11"/>
      <c r="K297" s="12"/>
      <c r="L297" s="11"/>
      <c r="M297" s="11"/>
      <c r="N297" s="11"/>
    </row>
    <row r="298" customFormat="false" ht="32.8" hidden="false" customHeight="false" outlineLevel="0" collapsed="false">
      <c r="A298" s="13" t="n">
        <v>286</v>
      </c>
      <c r="B298" s="13" t="s">
        <v>348</v>
      </c>
      <c r="C298" s="13" t="s">
        <v>808</v>
      </c>
      <c r="D298" s="13" t="s">
        <v>448</v>
      </c>
      <c r="E298" s="13" t="s">
        <v>449</v>
      </c>
      <c r="F298" s="13" t="s">
        <v>450</v>
      </c>
      <c r="G298" s="13" t="s">
        <v>809</v>
      </c>
      <c r="H298" s="13" t="s">
        <v>452</v>
      </c>
      <c r="I298" s="13" t="s">
        <v>144</v>
      </c>
      <c r="J298" s="11"/>
      <c r="K298" s="12"/>
      <c r="L298" s="11"/>
      <c r="M298" s="11"/>
      <c r="N298" s="11"/>
    </row>
    <row r="299" customFormat="false" ht="32.8" hidden="false" customHeight="false" outlineLevel="0" collapsed="false">
      <c r="A299" s="10" t="n">
        <v>287</v>
      </c>
      <c r="B299" s="10" t="s">
        <v>348</v>
      </c>
      <c r="C299" s="10" t="s">
        <v>810</v>
      </c>
      <c r="D299" s="10" t="s">
        <v>448</v>
      </c>
      <c r="E299" s="10" t="s">
        <v>449</v>
      </c>
      <c r="F299" s="10" t="s">
        <v>450</v>
      </c>
      <c r="G299" s="10" t="s">
        <v>811</v>
      </c>
      <c r="H299" s="10" t="s">
        <v>452</v>
      </c>
      <c r="I299" s="10" t="s">
        <v>144</v>
      </c>
      <c r="J299" s="11"/>
      <c r="K299" s="12"/>
      <c r="L299" s="11"/>
      <c r="M299" s="11"/>
      <c r="N299" s="11"/>
    </row>
    <row r="300" customFormat="false" ht="32.8" hidden="false" customHeight="false" outlineLevel="0" collapsed="false">
      <c r="A300" s="13" t="n">
        <v>288</v>
      </c>
      <c r="B300" s="13" t="s">
        <v>348</v>
      </c>
      <c r="C300" s="13" t="s">
        <v>812</v>
      </c>
      <c r="D300" s="13" t="s">
        <v>448</v>
      </c>
      <c r="E300" s="13" t="s">
        <v>449</v>
      </c>
      <c r="F300" s="13" t="s">
        <v>450</v>
      </c>
      <c r="G300" s="13" t="s">
        <v>813</v>
      </c>
      <c r="H300" s="13" t="s">
        <v>452</v>
      </c>
      <c r="I300" s="13" t="s">
        <v>144</v>
      </c>
      <c r="J300" s="11"/>
      <c r="K300" s="12"/>
      <c r="L300" s="11"/>
      <c r="M300" s="11"/>
      <c r="N300" s="11"/>
    </row>
    <row r="301" customFormat="false" ht="32.8" hidden="false" customHeight="false" outlineLevel="0" collapsed="false">
      <c r="A301" s="10" t="n">
        <v>289</v>
      </c>
      <c r="B301" s="10" t="s">
        <v>348</v>
      </c>
      <c r="C301" s="10" t="s">
        <v>814</v>
      </c>
      <c r="D301" s="10" t="s">
        <v>448</v>
      </c>
      <c r="E301" s="10" t="s">
        <v>449</v>
      </c>
      <c r="F301" s="10" t="s">
        <v>450</v>
      </c>
      <c r="G301" s="10" t="s">
        <v>815</v>
      </c>
      <c r="H301" s="10" t="s">
        <v>452</v>
      </c>
      <c r="I301" s="10" t="s">
        <v>144</v>
      </c>
      <c r="J301" s="11"/>
      <c r="K301" s="12"/>
      <c r="L301" s="11"/>
      <c r="M301" s="11"/>
      <c r="N301" s="11"/>
    </row>
    <row r="302" customFormat="false" ht="43.25" hidden="false" customHeight="false" outlineLevel="0" collapsed="false">
      <c r="A302" s="13" t="n">
        <v>290</v>
      </c>
      <c r="B302" s="13" t="s">
        <v>348</v>
      </c>
      <c r="C302" s="13" t="s">
        <v>816</v>
      </c>
      <c r="D302" s="13" t="s">
        <v>448</v>
      </c>
      <c r="E302" s="13" t="s">
        <v>449</v>
      </c>
      <c r="F302" s="13" t="s">
        <v>450</v>
      </c>
      <c r="G302" s="13" t="s">
        <v>817</v>
      </c>
      <c r="H302" s="13" t="s">
        <v>452</v>
      </c>
      <c r="I302" s="13" t="s">
        <v>144</v>
      </c>
      <c r="J302" s="11"/>
      <c r="K302" s="12"/>
      <c r="L302" s="11"/>
      <c r="M302" s="11"/>
      <c r="N302" s="11"/>
    </row>
    <row r="303" customFormat="false" ht="32.8" hidden="false" customHeight="false" outlineLevel="0" collapsed="false">
      <c r="A303" s="10" t="n">
        <v>291</v>
      </c>
      <c r="B303" s="10" t="s">
        <v>348</v>
      </c>
      <c r="C303" s="10" t="s">
        <v>818</v>
      </c>
      <c r="D303" s="10" t="s">
        <v>448</v>
      </c>
      <c r="E303" s="10" t="s">
        <v>449</v>
      </c>
      <c r="F303" s="10" t="s">
        <v>450</v>
      </c>
      <c r="G303" s="10" t="s">
        <v>819</v>
      </c>
      <c r="H303" s="10" t="s">
        <v>452</v>
      </c>
      <c r="I303" s="10" t="s">
        <v>144</v>
      </c>
      <c r="J303" s="11"/>
      <c r="K303" s="12"/>
      <c r="L303" s="11"/>
      <c r="M303" s="11"/>
      <c r="N303" s="11"/>
    </row>
    <row r="304" customFormat="false" ht="32.8" hidden="false" customHeight="false" outlineLevel="0" collapsed="false">
      <c r="A304" s="13" t="n">
        <v>292</v>
      </c>
      <c r="B304" s="13" t="s">
        <v>348</v>
      </c>
      <c r="C304" s="13" t="s">
        <v>820</v>
      </c>
      <c r="D304" s="13" t="s">
        <v>448</v>
      </c>
      <c r="E304" s="13" t="s">
        <v>449</v>
      </c>
      <c r="F304" s="13" t="s">
        <v>450</v>
      </c>
      <c r="G304" s="13" t="s">
        <v>821</v>
      </c>
      <c r="H304" s="13" t="s">
        <v>452</v>
      </c>
      <c r="I304" s="13" t="s">
        <v>144</v>
      </c>
      <c r="J304" s="11"/>
      <c r="K304" s="12"/>
      <c r="L304" s="11"/>
      <c r="M304" s="11"/>
      <c r="N304" s="11"/>
    </row>
    <row r="305" customFormat="false" ht="32.8" hidden="false" customHeight="false" outlineLevel="0" collapsed="false">
      <c r="A305" s="10" t="n">
        <v>293</v>
      </c>
      <c r="B305" s="10" t="s">
        <v>348</v>
      </c>
      <c r="C305" s="10" t="s">
        <v>822</v>
      </c>
      <c r="D305" s="10" t="s">
        <v>448</v>
      </c>
      <c r="E305" s="10" t="s">
        <v>449</v>
      </c>
      <c r="F305" s="10" t="s">
        <v>450</v>
      </c>
      <c r="G305" s="10" t="s">
        <v>823</v>
      </c>
      <c r="H305" s="10" t="s">
        <v>452</v>
      </c>
      <c r="I305" s="10" t="s">
        <v>144</v>
      </c>
      <c r="J305" s="11"/>
      <c r="K305" s="12"/>
      <c r="L305" s="11"/>
      <c r="M305" s="11"/>
      <c r="N305" s="11"/>
    </row>
    <row r="306" customFormat="false" ht="32.8" hidden="false" customHeight="false" outlineLevel="0" collapsed="false">
      <c r="A306" s="13" t="n">
        <v>294</v>
      </c>
      <c r="B306" s="13" t="s">
        <v>348</v>
      </c>
      <c r="C306" s="13" t="s">
        <v>824</v>
      </c>
      <c r="D306" s="13" t="s">
        <v>448</v>
      </c>
      <c r="E306" s="13" t="s">
        <v>449</v>
      </c>
      <c r="F306" s="13" t="s">
        <v>450</v>
      </c>
      <c r="G306" s="13" t="s">
        <v>825</v>
      </c>
      <c r="H306" s="13" t="s">
        <v>452</v>
      </c>
      <c r="I306" s="13" t="s">
        <v>144</v>
      </c>
      <c r="J306" s="11"/>
      <c r="K306" s="12"/>
      <c r="L306" s="11"/>
      <c r="M306" s="11"/>
      <c r="N306" s="11"/>
    </row>
    <row r="307" customFormat="false" ht="32.8" hidden="false" customHeight="false" outlineLevel="0" collapsed="false">
      <c r="A307" s="10" t="n">
        <v>295</v>
      </c>
      <c r="B307" s="10" t="s">
        <v>348</v>
      </c>
      <c r="C307" s="10" t="s">
        <v>826</v>
      </c>
      <c r="D307" s="10" t="s">
        <v>448</v>
      </c>
      <c r="E307" s="10" t="s">
        <v>449</v>
      </c>
      <c r="F307" s="10" t="s">
        <v>450</v>
      </c>
      <c r="G307" s="10" t="s">
        <v>827</v>
      </c>
      <c r="H307" s="10" t="s">
        <v>452</v>
      </c>
      <c r="I307" s="10" t="s">
        <v>144</v>
      </c>
      <c r="J307" s="11"/>
      <c r="K307" s="12"/>
      <c r="L307" s="11"/>
      <c r="M307" s="11"/>
      <c r="N307" s="11"/>
    </row>
    <row r="308" customFormat="false" ht="32.8" hidden="false" customHeight="false" outlineLevel="0" collapsed="false">
      <c r="A308" s="13" t="n">
        <v>296</v>
      </c>
      <c r="B308" s="13" t="s">
        <v>348</v>
      </c>
      <c r="C308" s="13" t="s">
        <v>828</v>
      </c>
      <c r="D308" s="13" t="s">
        <v>448</v>
      </c>
      <c r="E308" s="13" t="s">
        <v>449</v>
      </c>
      <c r="F308" s="13" t="s">
        <v>450</v>
      </c>
      <c r="G308" s="13" t="s">
        <v>829</v>
      </c>
      <c r="H308" s="13" t="s">
        <v>452</v>
      </c>
      <c r="I308" s="13" t="s">
        <v>144</v>
      </c>
      <c r="J308" s="11"/>
      <c r="K308" s="12"/>
      <c r="L308" s="11"/>
      <c r="M308" s="11"/>
      <c r="N308" s="11"/>
    </row>
    <row r="309" customFormat="false" ht="32.8" hidden="false" customHeight="false" outlineLevel="0" collapsed="false">
      <c r="A309" s="10" t="n">
        <v>297</v>
      </c>
      <c r="B309" s="10" t="s">
        <v>348</v>
      </c>
      <c r="C309" s="10" t="s">
        <v>830</v>
      </c>
      <c r="D309" s="10" t="s">
        <v>448</v>
      </c>
      <c r="E309" s="10" t="s">
        <v>449</v>
      </c>
      <c r="F309" s="10" t="s">
        <v>450</v>
      </c>
      <c r="G309" s="10" t="s">
        <v>831</v>
      </c>
      <c r="H309" s="10" t="s">
        <v>452</v>
      </c>
      <c r="I309" s="10" t="s">
        <v>144</v>
      </c>
      <c r="J309" s="11"/>
      <c r="K309" s="12"/>
      <c r="L309" s="11"/>
      <c r="M309" s="11"/>
      <c r="N309" s="11"/>
    </row>
    <row r="310" customFormat="false" ht="32.8" hidden="false" customHeight="false" outlineLevel="0" collapsed="false">
      <c r="A310" s="13" t="n">
        <v>298</v>
      </c>
      <c r="B310" s="13" t="s">
        <v>348</v>
      </c>
      <c r="C310" s="13" t="s">
        <v>832</v>
      </c>
      <c r="D310" s="13" t="s">
        <v>448</v>
      </c>
      <c r="E310" s="13" t="s">
        <v>449</v>
      </c>
      <c r="F310" s="13" t="s">
        <v>450</v>
      </c>
      <c r="G310" s="13" t="s">
        <v>833</v>
      </c>
      <c r="H310" s="13" t="s">
        <v>452</v>
      </c>
      <c r="I310" s="13" t="s">
        <v>144</v>
      </c>
      <c r="J310" s="11"/>
      <c r="K310" s="12"/>
      <c r="L310" s="11"/>
      <c r="M310" s="11"/>
      <c r="N310" s="11"/>
    </row>
    <row r="311" customFormat="false" ht="32.8" hidden="false" customHeight="false" outlineLevel="0" collapsed="false">
      <c r="A311" s="10" t="n">
        <v>299</v>
      </c>
      <c r="B311" s="10" t="s">
        <v>348</v>
      </c>
      <c r="C311" s="10" t="s">
        <v>834</v>
      </c>
      <c r="D311" s="10" t="s">
        <v>448</v>
      </c>
      <c r="E311" s="10" t="s">
        <v>449</v>
      </c>
      <c r="F311" s="10" t="s">
        <v>450</v>
      </c>
      <c r="G311" s="10" t="s">
        <v>835</v>
      </c>
      <c r="H311" s="10" t="s">
        <v>452</v>
      </c>
      <c r="I311" s="10" t="s">
        <v>144</v>
      </c>
      <c r="J311" s="11"/>
      <c r="K311" s="12"/>
      <c r="L311" s="11"/>
      <c r="M311" s="11"/>
      <c r="N311" s="11"/>
    </row>
    <row r="312" customFormat="false" ht="32.8" hidden="false" customHeight="false" outlineLevel="0" collapsed="false">
      <c r="A312" s="13" t="n">
        <v>300</v>
      </c>
      <c r="B312" s="13" t="s">
        <v>348</v>
      </c>
      <c r="C312" s="13" t="s">
        <v>836</v>
      </c>
      <c r="D312" s="13" t="s">
        <v>448</v>
      </c>
      <c r="E312" s="13" t="s">
        <v>449</v>
      </c>
      <c r="F312" s="13" t="s">
        <v>450</v>
      </c>
      <c r="G312" s="13" t="s">
        <v>837</v>
      </c>
      <c r="H312" s="13" t="s">
        <v>452</v>
      </c>
      <c r="I312" s="13" t="s">
        <v>144</v>
      </c>
      <c r="J312" s="11"/>
      <c r="K312" s="12"/>
      <c r="L312" s="11"/>
      <c r="M312" s="11"/>
      <c r="N312" s="11"/>
    </row>
    <row r="313" customFormat="false" ht="32.8" hidden="false" customHeight="false" outlineLevel="0" collapsed="false">
      <c r="A313" s="10" t="n">
        <v>301</v>
      </c>
      <c r="B313" s="10" t="s">
        <v>348</v>
      </c>
      <c r="C313" s="10" t="s">
        <v>361</v>
      </c>
      <c r="D313" s="10" t="s">
        <v>448</v>
      </c>
      <c r="E313" s="10" t="s">
        <v>449</v>
      </c>
      <c r="F313" s="10" t="s">
        <v>450</v>
      </c>
      <c r="G313" s="10" t="s">
        <v>838</v>
      </c>
      <c r="H313" s="10" t="s">
        <v>452</v>
      </c>
      <c r="I313" s="10" t="s">
        <v>144</v>
      </c>
      <c r="J313" s="11"/>
      <c r="K313" s="12"/>
      <c r="L313" s="11"/>
      <c r="M313" s="11"/>
      <c r="N313" s="11"/>
    </row>
    <row r="314" customFormat="false" ht="32.8" hidden="false" customHeight="false" outlineLevel="0" collapsed="false">
      <c r="A314" s="13" t="n">
        <v>302</v>
      </c>
      <c r="B314" s="13" t="s">
        <v>348</v>
      </c>
      <c r="C314" s="13" t="s">
        <v>366</v>
      </c>
      <c r="D314" s="13" t="s">
        <v>448</v>
      </c>
      <c r="E314" s="13" t="s">
        <v>449</v>
      </c>
      <c r="F314" s="13" t="s">
        <v>450</v>
      </c>
      <c r="G314" s="13" t="s">
        <v>839</v>
      </c>
      <c r="H314" s="13" t="s">
        <v>452</v>
      </c>
      <c r="I314" s="13" t="s">
        <v>144</v>
      </c>
      <c r="J314" s="11"/>
      <c r="K314" s="12"/>
      <c r="L314" s="11"/>
      <c r="M314" s="11"/>
      <c r="N314" s="11"/>
    </row>
    <row r="315" customFormat="false" ht="32.8" hidden="false" customHeight="false" outlineLevel="0" collapsed="false">
      <c r="A315" s="10" t="n">
        <v>303</v>
      </c>
      <c r="B315" s="10" t="s">
        <v>348</v>
      </c>
      <c r="C315" s="10" t="s">
        <v>840</v>
      </c>
      <c r="D315" s="10" t="s">
        <v>448</v>
      </c>
      <c r="E315" s="10" t="s">
        <v>449</v>
      </c>
      <c r="F315" s="10" t="s">
        <v>450</v>
      </c>
      <c r="G315" s="10" t="s">
        <v>841</v>
      </c>
      <c r="H315" s="10" t="s">
        <v>452</v>
      </c>
      <c r="I315" s="10" t="s">
        <v>144</v>
      </c>
      <c r="J315" s="11"/>
      <c r="K315" s="12"/>
      <c r="L315" s="11"/>
      <c r="M315" s="11"/>
      <c r="N315" s="11"/>
    </row>
    <row r="316" customFormat="false" ht="32.8" hidden="false" customHeight="false" outlineLevel="0" collapsed="false">
      <c r="A316" s="13" t="n">
        <v>304</v>
      </c>
      <c r="B316" s="13" t="s">
        <v>389</v>
      </c>
      <c r="C316" s="13" t="s">
        <v>390</v>
      </c>
      <c r="D316" s="13" t="s">
        <v>448</v>
      </c>
      <c r="E316" s="13" t="s">
        <v>449</v>
      </c>
      <c r="F316" s="13" t="s">
        <v>450</v>
      </c>
      <c r="G316" s="13" t="s">
        <v>842</v>
      </c>
      <c r="H316" s="13" t="s">
        <v>452</v>
      </c>
      <c r="I316" s="13" t="s">
        <v>144</v>
      </c>
      <c r="J316" s="11"/>
      <c r="K316" s="12"/>
      <c r="L316" s="11"/>
      <c r="M316" s="11"/>
      <c r="N316" s="11"/>
    </row>
    <row r="317" customFormat="false" ht="32.8" hidden="false" customHeight="false" outlineLevel="0" collapsed="false">
      <c r="A317" s="10" t="n">
        <v>305</v>
      </c>
      <c r="B317" s="10" t="s">
        <v>389</v>
      </c>
      <c r="C317" s="10" t="s">
        <v>843</v>
      </c>
      <c r="D317" s="10" t="s">
        <v>448</v>
      </c>
      <c r="E317" s="10" t="s">
        <v>449</v>
      </c>
      <c r="F317" s="10" t="s">
        <v>450</v>
      </c>
      <c r="G317" s="10" t="s">
        <v>844</v>
      </c>
      <c r="H317" s="10" t="s">
        <v>452</v>
      </c>
      <c r="I317" s="10" t="s">
        <v>144</v>
      </c>
      <c r="J317" s="11"/>
      <c r="K317" s="12"/>
      <c r="L317" s="11"/>
      <c r="M317" s="11"/>
      <c r="N317" s="11"/>
    </row>
    <row r="318" customFormat="false" ht="32.8" hidden="false" customHeight="false" outlineLevel="0" collapsed="false">
      <c r="A318" s="13" t="n">
        <v>306</v>
      </c>
      <c r="B318" s="13" t="s">
        <v>389</v>
      </c>
      <c r="C318" s="13" t="s">
        <v>845</v>
      </c>
      <c r="D318" s="13" t="s">
        <v>448</v>
      </c>
      <c r="E318" s="13" t="s">
        <v>449</v>
      </c>
      <c r="F318" s="13" t="s">
        <v>450</v>
      </c>
      <c r="G318" s="13" t="s">
        <v>846</v>
      </c>
      <c r="H318" s="13" t="s">
        <v>452</v>
      </c>
      <c r="I318" s="13" t="s">
        <v>144</v>
      </c>
      <c r="J318" s="11"/>
      <c r="K318" s="12"/>
      <c r="L318" s="11"/>
      <c r="M318" s="11"/>
      <c r="N318" s="11"/>
    </row>
    <row r="319" customFormat="false" ht="32.8" hidden="false" customHeight="false" outlineLevel="0" collapsed="false">
      <c r="A319" s="10" t="n">
        <v>307</v>
      </c>
      <c r="B319" s="10" t="s">
        <v>389</v>
      </c>
      <c r="C319" s="10" t="s">
        <v>847</v>
      </c>
      <c r="D319" s="10" t="s">
        <v>448</v>
      </c>
      <c r="E319" s="10" t="s">
        <v>449</v>
      </c>
      <c r="F319" s="10" t="s">
        <v>450</v>
      </c>
      <c r="G319" s="10" t="s">
        <v>848</v>
      </c>
      <c r="H319" s="10" t="s">
        <v>452</v>
      </c>
      <c r="I319" s="10" t="s">
        <v>144</v>
      </c>
      <c r="J319" s="11"/>
      <c r="K319" s="12"/>
      <c r="L319" s="11"/>
      <c r="M319" s="11"/>
      <c r="N319" s="11"/>
    </row>
    <row r="320" customFormat="false" ht="32.8" hidden="false" customHeight="false" outlineLevel="0" collapsed="false">
      <c r="A320" s="13" t="n">
        <v>308</v>
      </c>
      <c r="B320" s="13" t="s">
        <v>389</v>
      </c>
      <c r="C320" s="13" t="s">
        <v>849</v>
      </c>
      <c r="D320" s="13" t="s">
        <v>448</v>
      </c>
      <c r="E320" s="13" t="s">
        <v>449</v>
      </c>
      <c r="F320" s="13" t="s">
        <v>450</v>
      </c>
      <c r="G320" s="13" t="s">
        <v>850</v>
      </c>
      <c r="H320" s="13" t="s">
        <v>452</v>
      </c>
      <c r="I320" s="13" t="s">
        <v>144</v>
      </c>
      <c r="J320" s="11"/>
      <c r="K320" s="12"/>
      <c r="L320" s="11"/>
      <c r="M320" s="11"/>
      <c r="N320" s="11"/>
    </row>
    <row r="321" customFormat="false" ht="32.8" hidden="false" customHeight="false" outlineLevel="0" collapsed="false">
      <c r="A321" s="10" t="n">
        <v>309</v>
      </c>
      <c r="B321" s="10" t="s">
        <v>851</v>
      </c>
      <c r="C321" s="10" t="s">
        <v>852</v>
      </c>
      <c r="D321" s="10" t="s">
        <v>448</v>
      </c>
      <c r="E321" s="10" t="s">
        <v>449</v>
      </c>
      <c r="F321" s="10" t="s">
        <v>450</v>
      </c>
      <c r="G321" s="10" t="s">
        <v>853</v>
      </c>
      <c r="H321" s="10" t="s">
        <v>452</v>
      </c>
      <c r="I321" s="10" t="s">
        <v>144</v>
      </c>
      <c r="J321" s="11"/>
      <c r="K321" s="12"/>
      <c r="L321" s="11"/>
      <c r="M321" s="11"/>
      <c r="N321" s="11"/>
    </row>
    <row r="322" customFormat="false" ht="32.8" hidden="false" customHeight="false" outlineLevel="0" collapsed="false">
      <c r="A322" s="13" t="n">
        <v>310</v>
      </c>
      <c r="B322" s="13" t="s">
        <v>851</v>
      </c>
      <c r="C322" s="13" t="s">
        <v>854</v>
      </c>
      <c r="D322" s="13" t="s">
        <v>448</v>
      </c>
      <c r="E322" s="13" t="s">
        <v>449</v>
      </c>
      <c r="F322" s="13" t="s">
        <v>450</v>
      </c>
      <c r="G322" s="13" t="s">
        <v>855</v>
      </c>
      <c r="H322" s="13" t="s">
        <v>452</v>
      </c>
      <c r="I322" s="13" t="s">
        <v>144</v>
      </c>
      <c r="J322" s="11"/>
      <c r="K322" s="12"/>
      <c r="L322" s="11"/>
      <c r="M322" s="11"/>
      <c r="N322" s="11"/>
    </row>
    <row r="323" customFormat="false" ht="32.8" hidden="false" customHeight="false" outlineLevel="0" collapsed="false">
      <c r="A323" s="10" t="n">
        <v>311</v>
      </c>
      <c r="B323" s="10" t="s">
        <v>851</v>
      </c>
      <c r="C323" s="10" t="s">
        <v>856</v>
      </c>
      <c r="D323" s="10" t="s">
        <v>448</v>
      </c>
      <c r="E323" s="10" t="s">
        <v>449</v>
      </c>
      <c r="F323" s="10" t="s">
        <v>450</v>
      </c>
      <c r="G323" s="10" t="s">
        <v>857</v>
      </c>
      <c r="H323" s="10" t="s">
        <v>452</v>
      </c>
      <c r="I323" s="10" t="s">
        <v>144</v>
      </c>
      <c r="J323" s="11"/>
      <c r="K323" s="12"/>
      <c r="L323" s="11"/>
      <c r="M323" s="11"/>
      <c r="N323" s="11"/>
    </row>
    <row r="324" customFormat="false" ht="32.8" hidden="false" customHeight="false" outlineLevel="0" collapsed="false">
      <c r="A324" s="13" t="n">
        <v>312</v>
      </c>
      <c r="B324" s="13" t="s">
        <v>851</v>
      </c>
      <c r="C324" s="13" t="s">
        <v>858</v>
      </c>
      <c r="D324" s="13" t="s">
        <v>448</v>
      </c>
      <c r="E324" s="13" t="s">
        <v>449</v>
      </c>
      <c r="F324" s="13" t="s">
        <v>450</v>
      </c>
      <c r="G324" s="13" t="s">
        <v>859</v>
      </c>
      <c r="H324" s="13" t="s">
        <v>452</v>
      </c>
      <c r="I324" s="13" t="s">
        <v>144</v>
      </c>
      <c r="J324" s="11"/>
      <c r="K324" s="12"/>
      <c r="L324" s="11"/>
      <c r="M324" s="11"/>
      <c r="N324" s="11"/>
    </row>
    <row r="325" customFormat="false" ht="32.8" hidden="false" customHeight="false" outlineLevel="0" collapsed="false">
      <c r="A325" s="10" t="n">
        <v>313</v>
      </c>
      <c r="B325" s="10" t="s">
        <v>851</v>
      </c>
      <c r="C325" s="10" t="s">
        <v>860</v>
      </c>
      <c r="D325" s="10" t="s">
        <v>448</v>
      </c>
      <c r="E325" s="10" t="s">
        <v>449</v>
      </c>
      <c r="F325" s="10" t="s">
        <v>450</v>
      </c>
      <c r="G325" s="10" t="s">
        <v>861</v>
      </c>
      <c r="H325" s="10" t="s">
        <v>452</v>
      </c>
      <c r="I325" s="10" t="s">
        <v>144</v>
      </c>
      <c r="J325" s="11"/>
      <c r="K325" s="12"/>
      <c r="L325" s="11"/>
      <c r="M325" s="11"/>
      <c r="N325" s="11"/>
    </row>
    <row r="326" customFormat="false" ht="32.8" hidden="false" customHeight="false" outlineLevel="0" collapsed="false">
      <c r="A326" s="13" t="n">
        <v>314</v>
      </c>
      <c r="B326" s="13" t="s">
        <v>851</v>
      </c>
      <c r="C326" s="13" t="s">
        <v>862</v>
      </c>
      <c r="D326" s="13" t="s">
        <v>448</v>
      </c>
      <c r="E326" s="13" t="s">
        <v>449</v>
      </c>
      <c r="F326" s="13" t="s">
        <v>450</v>
      </c>
      <c r="G326" s="13" t="s">
        <v>863</v>
      </c>
      <c r="H326" s="13" t="s">
        <v>452</v>
      </c>
      <c r="I326" s="13" t="s">
        <v>144</v>
      </c>
      <c r="J326" s="11"/>
      <c r="K326" s="12"/>
      <c r="L326" s="11"/>
      <c r="M326" s="11"/>
      <c r="N326" s="11"/>
    </row>
    <row r="327" customFormat="false" ht="32.8" hidden="false" customHeight="false" outlineLevel="0" collapsed="false">
      <c r="A327" s="10" t="n">
        <v>315</v>
      </c>
      <c r="B327" s="10" t="s">
        <v>864</v>
      </c>
      <c r="C327" s="10" t="s">
        <v>865</v>
      </c>
      <c r="D327" s="10" t="s">
        <v>448</v>
      </c>
      <c r="E327" s="10" t="s">
        <v>449</v>
      </c>
      <c r="F327" s="10" t="s">
        <v>450</v>
      </c>
      <c r="G327" s="10" t="s">
        <v>866</v>
      </c>
      <c r="H327" s="10" t="s">
        <v>452</v>
      </c>
      <c r="I327" s="10" t="s">
        <v>144</v>
      </c>
      <c r="J327" s="11"/>
      <c r="K327" s="12"/>
      <c r="L327" s="11"/>
      <c r="M327" s="11"/>
      <c r="N327" s="11"/>
    </row>
    <row r="328" customFormat="false" ht="32.8" hidden="false" customHeight="false" outlineLevel="0" collapsed="false">
      <c r="A328" s="13" t="n">
        <v>316</v>
      </c>
      <c r="B328" s="13" t="s">
        <v>864</v>
      </c>
      <c r="C328" s="13" t="s">
        <v>867</v>
      </c>
      <c r="D328" s="13" t="s">
        <v>448</v>
      </c>
      <c r="E328" s="13" t="s">
        <v>449</v>
      </c>
      <c r="F328" s="13" t="s">
        <v>450</v>
      </c>
      <c r="G328" s="13" t="s">
        <v>868</v>
      </c>
      <c r="H328" s="13" t="s">
        <v>452</v>
      </c>
      <c r="I328" s="13" t="s">
        <v>144</v>
      </c>
      <c r="J328" s="11"/>
      <c r="K328" s="12"/>
      <c r="L328" s="11"/>
      <c r="M328" s="11"/>
      <c r="N328" s="11"/>
    </row>
    <row r="329" customFormat="false" ht="32.8" hidden="false" customHeight="false" outlineLevel="0" collapsed="false">
      <c r="A329" s="10" t="n">
        <v>317</v>
      </c>
      <c r="B329" s="10" t="s">
        <v>864</v>
      </c>
      <c r="C329" s="10" t="s">
        <v>869</v>
      </c>
      <c r="D329" s="10" t="s">
        <v>448</v>
      </c>
      <c r="E329" s="10" t="s">
        <v>449</v>
      </c>
      <c r="F329" s="10" t="s">
        <v>450</v>
      </c>
      <c r="G329" s="10" t="s">
        <v>870</v>
      </c>
      <c r="H329" s="10" t="s">
        <v>452</v>
      </c>
      <c r="I329" s="10" t="s">
        <v>144</v>
      </c>
      <c r="J329" s="11"/>
      <c r="K329" s="12"/>
      <c r="L329" s="11"/>
      <c r="M329" s="11"/>
      <c r="N329" s="11"/>
    </row>
    <row r="330" customFormat="false" ht="32.8" hidden="false" customHeight="false" outlineLevel="0" collapsed="false">
      <c r="A330" s="13" t="n">
        <v>318</v>
      </c>
      <c r="B330" s="13" t="s">
        <v>864</v>
      </c>
      <c r="C330" s="13" t="s">
        <v>871</v>
      </c>
      <c r="D330" s="13" t="s">
        <v>448</v>
      </c>
      <c r="E330" s="13" t="s">
        <v>449</v>
      </c>
      <c r="F330" s="13" t="s">
        <v>450</v>
      </c>
      <c r="G330" s="13" t="s">
        <v>872</v>
      </c>
      <c r="H330" s="13" t="s">
        <v>452</v>
      </c>
      <c r="I330" s="13" t="s">
        <v>144</v>
      </c>
      <c r="J330" s="11"/>
      <c r="K330" s="12"/>
      <c r="L330" s="11"/>
      <c r="M330" s="11"/>
      <c r="N330" s="11"/>
    </row>
    <row r="331" customFormat="false" ht="32.8" hidden="false" customHeight="false" outlineLevel="0" collapsed="false">
      <c r="A331" s="10" t="n">
        <v>319</v>
      </c>
      <c r="B331" s="10" t="s">
        <v>864</v>
      </c>
      <c r="C331" s="10" t="s">
        <v>873</v>
      </c>
      <c r="D331" s="10" t="s">
        <v>448</v>
      </c>
      <c r="E331" s="10" t="s">
        <v>449</v>
      </c>
      <c r="F331" s="10" t="s">
        <v>450</v>
      </c>
      <c r="G331" s="10" t="s">
        <v>874</v>
      </c>
      <c r="H331" s="10" t="s">
        <v>452</v>
      </c>
      <c r="I331" s="10" t="s">
        <v>144</v>
      </c>
      <c r="J331" s="11"/>
      <c r="K331" s="12"/>
      <c r="L331" s="11"/>
      <c r="M331" s="11"/>
      <c r="N331" s="11"/>
    </row>
    <row r="332" customFormat="false" ht="32.8" hidden="false" customHeight="false" outlineLevel="0" collapsed="false">
      <c r="A332" s="13" t="n">
        <v>320</v>
      </c>
      <c r="B332" s="13" t="s">
        <v>864</v>
      </c>
      <c r="C332" s="13" t="s">
        <v>875</v>
      </c>
      <c r="D332" s="13" t="s">
        <v>448</v>
      </c>
      <c r="E332" s="13" t="s">
        <v>449</v>
      </c>
      <c r="F332" s="13" t="s">
        <v>450</v>
      </c>
      <c r="G332" s="13" t="s">
        <v>876</v>
      </c>
      <c r="H332" s="13" t="s">
        <v>452</v>
      </c>
      <c r="I332" s="13" t="s">
        <v>144</v>
      </c>
      <c r="J332" s="11"/>
      <c r="K332" s="12"/>
      <c r="L332" s="11"/>
      <c r="M332" s="11"/>
      <c r="N332" s="11"/>
    </row>
    <row r="333" customFormat="false" ht="32.8" hidden="false" customHeight="false" outlineLevel="0" collapsed="false">
      <c r="A333" s="10" t="n">
        <v>321</v>
      </c>
      <c r="B333" s="10" t="s">
        <v>864</v>
      </c>
      <c r="C333" s="10" t="s">
        <v>877</v>
      </c>
      <c r="D333" s="10" t="s">
        <v>448</v>
      </c>
      <c r="E333" s="10" t="s">
        <v>449</v>
      </c>
      <c r="F333" s="10" t="s">
        <v>450</v>
      </c>
      <c r="G333" s="10" t="s">
        <v>878</v>
      </c>
      <c r="H333" s="10" t="s">
        <v>452</v>
      </c>
      <c r="I333" s="10" t="s">
        <v>144</v>
      </c>
      <c r="J333" s="11"/>
      <c r="K333" s="12"/>
      <c r="L333" s="11"/>
      <c r="M333" s="11"/>
      <c r="N333" s="11"/>
    </row>
    <row r="334" customFormat="false" ht="32.8" hidden="false" customHeight="false" outlineLevel="0" collapsed="false">
      <c r="A334" s="13" t="n">
        <v>322</v>
      </c>
      <c r="B334" s="13" t="s">
        <v>864</v>
      </c>
      <c r="C334" s="13" t="s">
        <v>879</v>
      </c>
      <c r="D334" s="13" t="s">
        <v>448</v>
      </c>
      <c r="E334" s="13" t="s">
        <v>449</v>
      </c>
      <c r="F334" s="13" t="s">
        <v>450</v>
      </c>
      <c r="G334" s="13" t="s">
        <v>880</v>
      </c>
      <c r="H334" s="13" t="s">
        <v>452</v>
      </c>
      <c r="I334" s="13" t="s">
        <v>144</v>
      </c>
      <c r="J334" s="11"/>
      <c r="K334" s="12"/>
      <c r="L334" s="11"/>
      <c r="M334" s="11"/>
      <c r="N334" s="11"/>
    </row>
    <row r="335" customFormat="false" ht="32.8" hidden="false" customHeight="false" outlineLevel="0" collapsed="false">
      <c r="A335" s="10" t="n">
        <v>323</v>
      </c>
      <c r="B335" s="10" t="s">
        <v>864</v>
      </c>
      <c r="C335" s="10" t="s">
        <v>881</v>
      </c>
      <c r="D335" s="10" t="s">
        <v>448</v>
      </c>
      <c r="E335" s="10" t="s">
        <v>449</v>
      </c>
      <c r="F335" s="10" t="s">
        <v>450</v>
      </c>
      <c r="G335" s="10" t="s">
        <v>882</v>
      </c>
      <c r="H335" s="10" t="s">
        <v>452</v>
      </c>
      <c r="I335" s="10" t="s">
        <v>144</v>
      </c>
      <c r="J335" s="11"/>
      <c r="K335" s="12"/>
      <c r="L335" s="11"/>
      <c r="M335" s="11"/>
      <c r="N335" s="11"/>
    </row>
    <row r="336" customFormat="false" ht="32.8" hidden="false" customHeight="false" outlineLevel="0" collapsed="false">
      <c r="A336" s="13" t="n">
        <v>324</v>
      </c>
      <c r="B336" s="13" t="s">
        <v>864</v>
      </c>
      <c r="C336" s="13" t="s">
        <v>883</v>
      </c>
      <c r="D336" s="13" t="s">
        <v>448</v>
      </c>
      <c r="E336" s="13" t="s">
        <v>449</v>
      </c>
      <c r="F336" s="13" t="s">
        <v>450</v>
      </c>
      <c r="G336" s="13" t="s">
        <v>884</v>
      </c>
      <c r="H336" s="13" t="s">
        <v>452</v>
      </c>
      <c r="I336" s="13" t="s">
        <v>144</v>
      </c>
      <c r="J336" s="11"/>
      <c r="K336" s="12"/>
      <c r="L336" s="11"/>
      <c r="M336" s="11"/>
      <c r="N336" s="11"/>
    </row>
    <row r="337" customFormat="false" ht="32.8" hidden="false" customHeight="false" outlineLevel="0" collapsed="false">
      <c r="A337" s="10" t="n">
        <v>325</v>
      </c>
      <c r="B337" s="10" t="s">
        <v>395</v>
      </c>
      <c r="C337" s="10" t="s">
        <v>396</v>
      </c>
      <c r="D337" s="10" t="s">
        <v>448</v>
      </c>
      <c r="E337" s="10" t="s">
        <v>449</v>
      </c>
      <c r="F337" s="10" t="s">
        <v>450</v>
      </c>
      <c r="G337" s="10" t="s">
        <v>885</v>
      </c>
      <c r="H337" s="10" t="s">
        <v>452</v>
      </c>
      <c r="I337" s="10" t="s">
        <v>144</v>
      </c>
      <c r="J337" s="11"/>
      <c r="K337" s="12"/>
      <c r="L337" s="11"/>
      <c r="M337" s="11"/>
      <c r="N337" s="11"/>
    </row>
    <row r="338" customFormat="false" ht="32.8" hidden="false" customHeight="false" outlineLevel="0" collapsed="false">
      <c r="A338" s="13" t="n">
        <v>326</v>
      </c>
      <c r="B338" s="13" t="s">
        <v>395</v>
      </c>
      <c r="C338" s="13" t="s">
        <v>886</v>
      </c>
      <c r="D338" s="13" t="s">
        <v>448</v>
      </c>
      <c r="E338" s="13" t="s">
        <v>449</v>
      </c>
      <c r="F338" s="13" t="s">
        <v>450</v>
      </c>
      <c r="G338" s="13" t="s">
        <v>887</v>
      </c>
      <c r="H338" s="13" t="s">
        <v>452</v>
      </c>
      <c r="I338" s="13" t="s">
        <v>144</v>
      </c>
      <c r="J338" s="11"/>
      <c r="K338" s="12"/>
      <c r="L338" s="11"/>
      <c r="M338" s="11"/>
      <c r="N338" s="11"/>
    </row>
    <row r="339" customFormat="false" ht="32.8" hidden="false" customHeight="false" outlineLevel="0" collapsed="false">
      <c r="A339" s="10" t="n">
        <v>327</v>
      </c>
      <c r="B339" s="10" t="s">
        <v>401</v>
      </c>
      <c r="C339" s="10" t="s">
        <v>402</v>
      </c>
      <c r="D339" s="10" t="s">
        <v>448</v>
      </c>
      <c r="E339" s="10" t="s">
        <v>449</v>
      </c>
      <c r="F339" s="10" t="s">
        <v>450</v>
      </c>
      <c r="G339" s="10" t="s">
        <v>888</v>
      </c>
      <c r="H339" s="10" t="s">
        <v>452</v>
      </c>
      <c r="I339" s="10" t="s">
        <v>144</v>
      </c>
      <c r="J339" s="11"/>
      <c r="K339" s="12"/>
      <c r="L339" s="11"/>
      <c r="M339" s="11"/>
      <c r="N339" s="11"/>
    </row>
    <row r="340" customFormat="false" ht="32.8" hidden="false" customHeight="false" outlineLevel="0" collapsed="false">
      <c r="A340" s="13" t="n">
        <v>328</v>
      </c>
      <c r="B340" s="13" t="s">
        <v>889</v>
      </c>
      <c r="C340" s="13" t="s">
        <v>889</v>
      </c>
      <c r="D340" s="13" t="s">
        <v>448</v>
      </c>
      <c r="E340" s="13" t="s">
        <v>449</v>
      </c>
      <c r="F340" s="13" t="s">
        <v>450</v>
      </c>
      <c r="G340" s="13" t="s">
        <v>890</v>
      </c>
      <c r="H340" s="13" t="s">
        <v>452</v>
      </c>
      <c r="I340" s="13" t="s">
        <v>144</v>
      </c>
      <c r="J340" s="11"/>
      <c r="K340" s="12"/>
      <c r="L340" s="11"/>
      <c r="M340" s="11"/>
      <c r="N340" s="11"/>
    </row>
    <row r="341" customFormat="false" ht="32.8" hidden="false" customHeight="false" outlineLevel="0" collapsed="false">
      <c r="A341" s="10" t="n">
        <v>329</v>
      </c>
      <c r="B341" s="10" t="s">
        <v>891</v>
      </c>
      <c r="C341" s="10" t="s">
        <v>892</v>
      </c>
      <c r="D341" s="10" t="s">
        <v>448</v>
      </c>
      <c r="E341" s="10" t="s">
        <v>449</v>
      </c>
      <c r="F341" s="10" t="s">
        <v>450</v>
      </c>
      <c r="G341" s="10" t="s">
        <v>893</v>
      </c>
      <c r="H341" s="10" t="s">
        <v>452</v>
      </c>
      <c r="I341" s="10" t="s">
        <v>144</v>
      </c>
      <c r="J341" s="11"/>
      <c r="K341" s="12"/>
      <c r="L341" s="11"/>
      <c r="M341" s="11"/>
      <c r="N341" s="11"/>
    </row>
    <row r="342" customFormat="false" ht="32.8" hidden="false" customHeight="false" outlineLevel="0" collapsed="false">
      <c r="A342" s="13" t="n">
        <v>330</v>
      </c>
      <c r="B342" s="13" t="s">
        <v>891</v>
      </c>
      <c r="C342" s="13" t="s">
        <v>894</v>
      </c>
      <c r="D342" s="13" t="s">
        <v>448</v>
      </c>
      <c r="E342" s="13" t="s">
        <v>449</v>
      </c>
      <c r="F342" s="13" t="s">
        <v>450</v>
      </c>
      <c r="G342" s="13" t="s">
        <v>895</v>
      </c>
      <c r="H342" s="13" t="s">
        <v>452</v>
      </c>
      <c r="I342" s="13" t="s">
        <v>144</v>
      </c>
      <c r="J342" s="11"/>
      <c r="K342" s="12"/>
      <c r="L342" s="11"/>
      <c r="M342" s="11"/>
      <c r="N342" s="11"/>
    </row>
    <row r="343" customFormat="false" ht="32.8" hidden="false" customHeight="false" outlineLevel="0" collapsed="false">
      <c r="A343" s="10" t="n">
        <v>331</v>
      </c>
      <c r="B343" s="10" t="s">
        <v>429</v>
      </c>
      <c r="C343" s="10" t="s">
        <v>438</v>
      </c>
      <c r="D343" s="10" t="s">
        <v>448</v>
      </c>
      <c r="E343" s="10" t="s">
        <v>449</v>
      </c>
      <c r="F343" s="10" t="s">
        <v>450</v>
      </c>
      <c r="G343" s="10" t="s">
        <v>896</v>
      </c>
      <c r="H343" s="10" t="s">
        <v>452</v>
      </c>
      <c r="I343" s="10" t="s">
        <v>144</v>
      </c>
      <c r="J343" s="11"/>
      <c r="K343" s="12"/>
      <c r="L343" s="11"/>
      <c r="M343" s="11"/>
      <c r="N343" s="11"/>
    </row>
    <row r="344" customFormat="false" ht="32.8" hidden="false" customHeight="false" outlineLevel="0" collapsed="false">
      <c r="A344" s="13" t="n">
        <v>332</v>
      </c>
      <c r="B344" s="13" t="s">
        <v>429</v>
      </c>
      <c r="C344" s="13" t="s">
        <v>897</v>
      </c>
      <c r="D344" s="13" t="s">
        <v>448</v>
      </c>
      <c r="E344" s="13" t="s">
        <v>449</v>
      </c>
      <c r="F344" s="13" t="s">
        <v>450</v>
      </c>
      <c r="G344" s="13" t="s">
        <v>898</v>
      </c>
      <c r="H344" s="13" t="s">
        <v>452</v>
      </c>
      <c r="I344" s="13" t="s">
        <v>144</v>
      </c>
      <c r="J344" s="11"/>
      <c r="K344" s="12"/>
      <c r="L344" s="11"/>
      <c r="M344" s="11"/>
      <c r="N344" s="11"/>
    </row>
    <row r="345" customFormat="false" ht="32.8" hidden="false" customHeight="false" outlineLevel="0" collapsed="false">
      <c r="A345" s="10" t="n">
        <v>333</v>
      </c>
      <c r="B345" s="10" t="s">
        <v>429</v>
      </c>
      <c r="C345" s="10" t="s">
        <v>443</v>
      </c>
      <c r="D345" s="10" t="s">
        <v>448</v>
      </c>
      <c r="E345" s="10" t="s">
        <v>449</v>
      </c>
      <c r="F345" s="10" t="s">
        <v>450</v>
      </c>
      <c r="G345" s="10" t="s">
        <v>899</v>
      </c>
      <c r="H345" s="10" t="s">
        <v>452</v>
      </c>
      <c r="I345" s="10" t="s">
        <v>144</v>
      </c>
      <c r="J345" s="11"/>
      <c r="K345" s="12"/>
      <c r="L345" s="11"/>
      <c r="M345" s="11"/>
      <c r="N345" s="11"/>
    </row>
    <row r="346" customFormat="false" ht="32.8" hidden="false" customHeight="false" outlineLevel="0" collapsed="false">
      <c r="A346" s="13" t="n">
        <v>334</v>
      </c>
      <c r="B346" s="13" t="s">
        <v>429</v>
      </c>
      <c r="C346" s="13" t="s">
        <v>900</v>
      </c>
      <c r="D346" s="13" t="s">
        <v>448</v>
      </c>
      <c r="E346" s="13" t="s">
        <v>449</v>
      </c>
      <c r="F346" s="13" t="s">
        <v>450</v>
      </c>
      <c r="G346" s="13" t="s">
        <v>901</v>
      </c>
      <c r="H346" s="13" t="s">
        <v>452</v>
      </c>
      <c r="I346" s="13" t="s">
        <v>144</v>
      </c>
      <c r="J346" s="11"/>
      <c r="K346" s="12"/>
      <c r="L346" s="11"/>
      <c r="M346" s="11"/>
      <c r="N346" s="11"/>
    </row>
    <row r="347" customFormat="false" ht="32.8" hidden="false" customHeight="false" outlineLevel="0" collapsed="false">
      <c r="A347" s="10" t="n">
        <v>335</v>
      </c>
      <c r="B347" s="10" t="s">
        <v>429</v>
      </c>
      <c r="C347" s="10" t="s">
        <v>430</v>
      </c>
      <c r="D347" s="10" t="s">
        <v>448</v>
      </c>
      <c r="E347" s="10" t="s">
        <v>449</v>
      </c>
      <c r="F347" s="10" t="s">
        <v>450</v>
      </c>
      <c r="G347" s="10" t="s">
        <v>902</v>
      </c>
      <c r="H347" s="10" t="s">
        <v>452</v>
      </c>
      <c r="I347" s="10" t="s">
        <v>144</v>
      </c>
      <c r="J347" s="11"/>
      <c r="K347" s="12"/>
      <c r="L347" s="11"/>
      <c r="M347" s="11"/>
      <c r="N347" s="11"/>
    </row>
    <row r="348" customFormat="false" ht="32.8" hidden="false" customHeight="false" outlineLevel="0" collapsed="false">
      <c r="A348" s="13" t="n">
        <v>336</v>
      </c>
      <c r="B348" s="13" t="s">
        <v>429</v>
      </c>
      <c r="C348" s="13" t="s">
        <v>606</v>
      </c>
      <c r="D348" s="13" t="s">
        <v>448</v>
      </c>
      <c r="E348" s="13" t="s">
        <v>449</v>
      </c>
      <c r="F348" s="13" t="s">
        <v>450</v>
      </c>
      <c r="G348" s="13" t="s">
        <v>903</v>
      </c>
      <c r="H348" s="13" t="s">
        <v>452</v>
      </c>
      <c r="I348" s="13" t="s">
        <v>144</v>
      </c>
      <c r="J348" s="11"/>
      <c r="K348" s="12"/>
      <c r="L348" s="11"/>
      <c r="M348" s="11"/>
      <c r="N348" s="11"/>
    </row>
    <row r="349" customFormat="false" ht="32.8" hidden="false" customHeight="false" outlineLevel="0" collapsed="false">
      <c r="A349" s="10" t="n">
        <v>337</v>
      </c>
      <c r="B349" s="10" t="s">
        <v>429</v>
      </c>
      <c r="C349" s="10" t="s">
        <v>904</v>
      </c>
      <c r="D349" s="10" t="s">
        <v>448</v>
      </c>
      <c r="E349" s="10" t="s">
        <v>449</v>
      </c>
      <c r="F349" s="10" t="s">
        <v>450</v>
      </c>
      <c r="G349" s="10" t="s">
        <v>905</v>
      </c>
      <c r="H349" s="10" t="s">
        <v>452</v>
      </c>
      <c r="I349" s="10" t="s">
        <v>144</v>
      </c>
      <c r="J349" s="11"/>
      <c r="K349" s="12"/>
      <c r="L349" s="11"/>
      <c r="M349" s="11"/>
      <c r="N349" s="11"/>
    </row>
    <row r="350" customFormat="false" ht="32.8" hidden="false" customHeight="false" outlineLevel="0" collapsed="false">
      <c r="A350" s="13" t="n">
        <v>338</v>
      </c>
      <c r="B350" s="13" t="s">
        <v>429</v>
      </c>
      <c r="C350" s="13" t="s">
        <v>906</v>
      </c>
      <c r="D350" s="13" t="s">
        <v>448</v>
      </c>
      <c r="E350" s="13" t="s">
        <v>449</v>
      </c>
      <c r="F350" s="13" t="s">
        <v>450</v>
      </c>
      <c r="G350" s="13" t="s">
        <v>907</v>
      </c>
      <c r="H350" s="13" t="s">
        <v>452</v>
      </c>
      <c r="I350" s="13" t="s">
        <v>144</v>
      </c>
      <c r="J350" s="11"/>
      <c r="K350" s="12"/>
      <c r="L350" s="11"/>
      <c r="M350" s="11"/>
      <c r="N350" s="11"/>
    </row>
  </sheetData>
  <autoFilter ref="A12:N350"/>
  <conditionalFormatting sqref="L13:L350">
    <cfRule type="cellIs" priority="2" operator="equal" aboveAverage="0" equalAverage="0" bottom="0" percent="0" rank="0" text="" dxfId="6">
      <formula>"OK"</formula>
    </cfRule>
    <cfRule type="cellIs" priority="3" operator="equal" aboveAverage="0" equalAverage="0" bottom="0" percent="0" rank="0" text="" dxfId="7">
      <formula>"KO"</formula>
    </cfRule>
    <cfRule type="cellIs" priority="4" operator="equal" aboveAverage="0" equalAverage="0" bottom="0" percent="0" rank="0" text="" dxfId="8">
      <formula>"Bloqué"</formula>
    </cfRule>
  </conditionalFormatting>
  <dataValidations count="2">
    <dataValidation allowBlank="true" error="Choisir un statut dans la liste" errorStyle="stop" operator="between" prompt="Non testé, OK, KO, Bloqué ou N/A" showDropDown="false" showErrorMessage="false" showInputMessage="false" sqref="L13:L350" type="list">
      <formula1>"Non testé,OK,KO,Bloqué,N/A"</formula1>
      <formula2>0</formula2>
    </dataValidation>
    <dataValidation allowBlank="true" error="Date attendue (jj/mm/aaaa)" errorStyle="stop" operator="greaterThan" showDropDown="false" showErrorMessage="false" showInputMessage="false" sqref="K13:K350" type="date">
      <formula1>DATE(2020,1,1)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2026-10-23T22:18:58Z</dcterms:created>
  <dc:creator>openpyxl</dc:creator>
  <dc:description/>
  <dc:language>en-US</dc:language>
  <cp:lastModifiedBy/>
  <dcterms:modified xsi:type="dcterms:W3CDTF">2026-10-23T22:18:59Z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