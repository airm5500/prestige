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IRMAN\AppData\Local\Temp\claude\D--projet-p3-prestige\4660ea01-cd8f-49ab-bd78-f6382d44836c\scratchpad\"/>
    </mc:Choice>
  </mc:AlternateContent>
  <xr:revisionPtr revIDLastSave="0" documentId="13_ncr:1_{F5880AC0-7F36-4697-9FA9-C177C8AE19ED}" xr6:coauthVersionLast="47" xr6:coauthVersionMax="47" xr10:uidLastSave="{00000000-0000-0000-0000-000000000000}"/>
  <bookViews>
    <workbookView xWindow="3240" yWindow="3240" windowWidth="21600" windowHeight="11295" xr2:uid="{00000000-000D-0000-FFFF-FFFF00000000}"/>
  </bookViews>
  <sheets>
    <sheet name="Synthèse" sheetId="1" r:id="rId1"/>
    <sheet name="Connexion et sécurité" sheetId="2" r:id="rId2"/>
    <sheet name="Ventes" sheetId="3" r:id="rId3"/>
    <sheet name="Caisse et gestion courante" sheetId="4" r:id="rId4"/>
    <sheet name="Facturation et différés" sheetId="5" r:id="rId5"/>
    <sheet name="Tiers-payants et clients" sheetId="6" r:id="rId6"/>
    <sheet name="Commandes et PharmaML" sheetId="7" r:id="rId7"/>
    <sheet name="Stock" sheetId="8" r:id="rId8"/>
    <sheet name="Étiquettes" sheetId="9" r:id="rId9"/>
    <sheet name="Analyse et pilotage" sheetId="10" r:id="rId10"/>
    <sheet name="Campagnes et avis clients" sheetId="11" r:id="rId11"/>
    <sheet name="Ressources humaines" sheetId="12" r:id="rId12"/>
    <sheet name="Support et serveur" sheetId="13" r:id="rId13"/>
    <sheet name="Performances et charge" sheetId="14" r:id="rId14"/>
    <sheet name="Éditions et modèles" sheetId="15" r:id="rId15"/>
  </sheets>
  <definedNames>
    <definedName name="_xlnm.Print_Area" localSheetId="9">'Analyse et pilotage'!$A$1:$J$15</definedName>
    <definedName name="_xlnm.Print_Area" localSheetId="3">'Caisse et gestion courante'!$A$1:$J$13</definedName>
    <definedName name="_xlnm.Print_Area" localSheetId="10">'Campagnes et avis clients'!$A$1:$J$11</definedName>
    <definedName name="_xlnm.Print_Area" localSheetId="6">'Commandes et PharmaML'!$A$1:$J$16</definedName>
    <definedName name="_xlnm.Print_Area" localSheetId="1">'Connexion et sécurité'!$A$1:$J$19</definedName>
    <definedName name="_xlnm.Print_Area" localSheetId="14">'Éditions et modèles'!$A$1:$J$10</definedName>
    <definedName name="_xlnm.Print_Area" localSheetId="8">Étiquettes!$A$1:$J$12</definedName>
    <definedName name="_xlnm.Print_Area" localSheetId="4">'Facturation et différés'!$A$1:$J$14</definedName>
    <definedName name="_xlnm.Print_Area" localSheetId="13">'Performances et charge'!$A$1:$J$11</definedName>
    <definedName name="_xlnm.Print_Area" localSheetId="11">'Ressources humaines'!$A$1:$J$12</definedName>
    <definedName name="_xlnm.Print_Area" localSheetId="7">Stock!$A$1:$J$15</definedName>
    <definedName name="_xlnm.Print_Area" localSheetId="12">'Support et serveur'!$A$1:$J$11</definedName>
    <definedName name="_xlnm.Print_Area" localSheetId="0">Synthèse!$A$1:$I$19</definedName>
    <definedName name="_xlnm.Print_Area" localSheetId="5">'Tiers-payants et clients'!$A$1:$J$15</definedName>
    <definedName name="_xlnm.Print_Area" localSheetId="2">Ventes!$A$1:$J$20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5" l="1"/>
  <c r="H3" i="15"/>
  <c r="F3" i="15"/>
  <c r="D3" i="15"/>
  <c r="B3" i="15"/>
  <c r="J3" i="14"/>
  <c r="H3" i="14"/>
  <c r="F3" i="14"/>
  <c r="D3" i="14"/>
  <c r="B3" i="14"/>
  <c r="J3" i="13"/>
  <c r="H3" i="13"/>
  <c r="F3" i="13"/>
  <c r="D3" i="13"/>
  <c r="B3" i="13"/>
  <c r="J3" i="12"/>
  <c r="H3" i="12"/>
  <c r="F3" i="12"/>
  <c r="D3" i="12"/>
  <c r="B3" i="12"/>
  <c r="J3" i="11"/>
  <c r="H3" i="11"/>
  <c r="F3" i="11"/>
  <c r="D3" i="11"/>
  <c r="B3" i="11"/>
  <c r="J3" i="10"/>
  <c r="H3" i="10"/>
  <c r="F3" i="10"/>
  <c r="D3" i="10"/>
  <c r="B3" i="10"/>
  <c r="J3" i="9"/>
  <c r="H3" i="9"/>
  <c r="F3" i="9"/>
  <c r="D3" i="9"/>
  <c r="B3" i="9"/>
  <c r="J3" i="8"/>
  <c r="H3" i="8"/>
  <c r="F3" i="8"/>
  <c r="D3" i="8"/>
  <c r="B3" i="8"/>
  <c r="J3" i="7"/>
  <c r="H3" i="7"/>
  <c r="F3" i="7"/>
  <c r="D3" i="7"/>
  <c r="B3" i="7"/>
  <c r="J3" i="6"/>
  <c r="H3" i="6"/>
  <c r="F3" i="6"/>
  <c r="D3" i="6"/>
  <c r="B3" i="6"/>
  <c r="J3" i="5"/>
  <c r="H3" i="5"/>
  <c r="F3" i="5"/>
  <c r="D3" i="5"/>
  <c r="B3" i="5"/>
  <c r="J3" i="4"/>
  <c r="H3" i="4"/>
  <c r="F3" i="4"/>
  <c r="D3" i="4"/>
  <c r="B3" i="4"/>
  <c r="J3" i="3"/>
  <c r="H3" i="3"/>
  <c r="F3" i="3"/>
  <c r="D3" i="3"/>
  <c r="B3" i="3"/>
  <c r="J3" i="2"/>
  <c r="H3" i="2"/>
  <c r="F3" i="2"/>
  <c r="D3" i="2"/>
  <c r="B3" i="2"/>
  <c r="H18" i="1"/>
  <c r="G18" i="1"/>
  <c r="F18" i="1"/>
  <c r="E18" i="1"/>
  <c r="I18" i="1" s="1"/>
  <c r="D18" i="1"/>
  <c r="C18" i="1"/>
  <c r="H17" i="1"/>
  <c r="G17" i="1"/>
  <c r="F17" i="1"/>
  <c r="E17" i="1"/>
  <c r="D17" i="1"/>
  <c r="C17" i="1"/>
  <c r="I17" i="1" s="1"/>
  <c r="H16" i="1"/>
  <c r="F16" i="1"/>
  <c r="E16" i="1"/>
  <c r="D16" i="1"/>
  <c r="C16" i="1"/>
  <c r="I16" i="1" s="1"/>
  <c r="H15" i="1"/>
  <c r="F15" i="1"/>
  <c r="E15" i="1"/>
  <c r="D15" i="1"/>
  <c r="C15" i="1"/>
  <c r="I15" i="1" s="1"/>
  <c r="H14" i="1"/>
  <c r="F14" i="1"/>
  <c r="E14" i="1"/>
  <c r="D14" i="1"/>
  <c r="C14" i="1"/>
  <c r="I14" i="1" s="1"/>
  <c r="I13" i="1"/>
  <c r="H13" i="1"/>
  <c r="F13" i="1"/>
  <c r="E13" i="1"/>
  <c r="D13" i="1"/>
  <c r="C13" i="1"/>
  <c r="G13" i="1" s="1"/>
  <c r="H12" i="1"/>
  <c r="G12" i="1"/>
  <c r="F12" i="1"/>
  <c r="E12" i="1"/>
  <c r="I12" i="1" s="1"/>
  <c r="D12" i="1"/>
  <c r="C12" i="1"/>
  <c r="H11" i="1"/>
  <c r="G11" i="1"/>
  <c r="F11" i="1"/>
  <c r="I11" i="1" s="1"/>
  <c r="E11" i="1"/>
  <c r="D11" i="1"/>
  <c r="C11" i="1"/>
  <c r="H10" i="1"/>
  <c r="F10" i="1"/>
  <c r="E10" i="1"/>
  <c r="D10" i="1"/>
  <c r="C10" i="1"/>
  <c r="I10" i="1" s="1"/>
  <c r="H9" i="1"/>
  <c r="G9" i="1"/>
  <c r="F9" i="1"/>
  <c r="E9" i="1"/>
  <c r="D9" i="1"/>
  <c r="I9" i="1" s="1"/>
  <c r="C9" i="1"/>
  <c r="H8" i="1"/>
  <c r="F8" i="1"/>
  <c r="E8" i="1"/>
  <c r="D8" i="1"/>
  <c r="C8" i="1"/>
  <c r="G8" i="1" s="1"/>
  <c r="H7" i="1"/>
  <c r="F7" i="1"/>
  <c r="E7" i="1"/>
  <c r="D7" i="1"/>
  <c r="D19" i="1" s="1"/>
  <c r="C7" i="1"/>
  <c r="I7" i="1" s="1"/>
  <c r="I6" i="1"/>
  <c r="H6" i="1"/>
  <c r="F6" i="1"/>
  <c r="E6" i="1"/>
  <c r="E19" i="1" s="1"/>
  <c r="D6" i="1"/>
  <c r="C6" i="1"/>
  <c r="G6" i="1" s="1"/>
  <c r="H5" i="1"/>
  <c r="F5" i="1"/>
  <c r="I5" i="1" s="1"/>
  <c r="E5" i="1"/>
  <c r="D5" i="1"/>
  <c r="C5" i="1"/>
  <c r="G5" i="1" s="1"/>
  <c r="G16" i="1" l="1"/>
  <c r="G7" i="1"/>
  <c r="C19" i="1"/>
  <c r="G14" i="1"/>
  <c r="F19" i="1"/>
  <c r="G15" i="1"/>
  <c r="I8" i="1"/>
  <c r="G10" i="1"/>
  <c r="G19" i="1" s="1"/>
  <c r="I19" i="1" l="1"/>
</calcChain>
</file>

<file path=xl/sharedStrings.xml><?xml version="1.0" encoding="utf-8"?>
<sst xmlns="http://schemas.openxmlformats.org/spreadsheetml/2006/main" count="1058" uniqueCount="544">
  <si>
    <t>Cahier de recette · branche integration/recette-2026-10-29</t>
  </si>
  <si>
    <t>Contenu : claude/new-session-xm8ptu + tests-performance + anomalies-support + audits-code (sans l'inventaire des JSP). Cas tirés des changements depuis la dernière version de dev (05/10). Tests sur la copie de travail, jamais la base de production.</t>
  </si>
  <si>
    <t>Module (feuille)</t>
  </si>
  <si>
    <t>Menu</t>
  </si>
  <si>
    <t>Cas</t>
  </si>
  <si>
    <t>OK</t>
  </si>
  <si>
    <t>KO</t>
  </si>
  <si>
    <t>Bloqué</t>
  </si>
  <si>
    <t>Non testé</t>
  </si>
  <si>
    <t>Tests auto OK / KO</t>
  </si>
  <si>
    <t>Avancement</t>
  </si>
  <si>
    <t>Connexion et sécurité</t>
  </si>
  <si>
    <t>Page de connexion · GESTION DES UTILISATEURS</t>
  </si>
  <si>
    <t>Ventes</t>
  </si>
  <si>
    <t>SERVICE CLIENT</t>
  </si>
  <si>
    <t>Caisse et gestion courante</t>
  </si>
  <si>
    <t>GESTION COURANTE</t>
  </si>
  <si>
    <t>Facturation et différés</t>
  </si>
  <si>
    <t>FACTURATION</t>
  </si>
  <si>
    <t>Tiers-payants et clients</t>
  </si>
  <si>
    <t>GESTION DES TIERS-PAYANTS · GESTION CLIENT</t>
  </si>
  <si>
    <t>Commandes et PharmaML</t>
  </si>
  <si>
    <t>GESTION DES COMMANDES</t>
  </si>
  <si>
    <t>Stock</t>
  </si>
  <si>
    <t>GESTION DU STOCK</t>
  </si>
  <si>
    <t>Étiquettes</t>
  </si>
  <si>
    <t>GESTION DU STOCK &gt; Étiquettage Pro</t>
  </si>
  <si>
    <t>Analyse et pilotage</t>
  </si>
  <si>
    <t>ANALYSE DE GESTION</t>
  </si>
  <si>
    <t>Campagnes et avis clients</t>
  </si>
  <si>
    <t>CAMPAGNES SMS / WHATSAPP · AVIS CLIENTS</t>
  </si>
  <si>
    <t>Ressources humaines</t>
  </si>
  <si>
    <t>RESSOURCES HUMAINES</t>
  </si>
  <si>
    <t>Support et serveur</t>
  </si>
  <si>
    <t>CENTRE DE SUPPORT</t>
  </si>
  <si>
    <t>Performances et charge</t>
  </si>
  <si>
    <t>Tous menus</t>
  </si>
  <si>
    <t>Éditions et modèles</t>
  </si>
  <si>
    <t>Toutes éditions</t>
  </si>
  <si>
    <t>TOTAL</t>
  </si>
  <si>
    <t>Cahier de recette · Connexion et sécurité</t>
  </si>
  <si>
    <t>Menu : Page de connexion · GESTION DES UTILISATEURS</t>
  </si>
  <si>
    <t>Branche : integration/recette-2026-10-29 · base de test : copie de travail, jamais la production</t>
  </si>
  <si>
    <t>Auto OK / KO</t>
  </si>
  <si>
    <t>Remplir les cellules jaunes · Statut : OK, KO (décrire, ouvrir un ticket), Bloqué, N/A · Test auto : résultat des tests d'écran sur la branche</t>
  </si>
  <si>
    <t>N°</t>
  </si>
  <si>
    <t>Écran</t>
  </si>
  <si>
    <t>Cas à vérifier</t>
  </si>
  <si>
    <t>Étapes</t>
  </si>
  <si>
    <t>Résultat attendu</t>
  </si>
  <si>
    <t>Prio.</t>
  </si>
  <si>
    <t>Test auto</t>
  </si>
  <si>
    <t>Statut</t>
  </si>
  <si>
    <t>Testeur · date</t>
  </si>
  <si>
    <t>Observation / ticket</t>
  </si>
  <si>
    <t>Connexion</t>
  </si>
  <si>
    <t>Connexion normale</t>
  </si>
  <si>
    <t>1. Identifiant, mot de passe, Entrée</t>
  </si>
  <si>
    <t>Accueil ouvert avec les menus du profil</t>
  </si>
  <si>
    <t>Haute</t>
  </si>
  <si>
    <t>Manuel</t>
  </si>
  <si>
    <t>Mots de passe faux répétés</t>
  </si>
  <si>
    <t>1. 10 essais faux
2. Attendre, réessayer</t>
  </si>
  <si>
    <t>Refus au-delà de 10 essais, nouvelle série après l'attente ; message sans dire si le compte existe</t>
  </si>
  <si>
    <t>Connexion par badge QR</t>
  </si>
  <si>
    <t>1. « Se connecter avec mon badge »
2. Scanner le badge</t>
  </si>
  <si>
    <t>Session au nom de l'employé ; badge régénéré ou désactivé refusé</t>
  </si>
  <si>
    <t>Douchette QWERTY / Verr. Maj.</t>
  </si>
  <si>
    <t>1. Scanner le badge avec la douchette mal réglée</t>
  </si>
  <si>
    <t>Connexion acceptée ou message « lecture déformée » explicite</t>
  </si>
  <si>
    <t>Basse</t>
  </si>
  <si>
    <t>Bouton « Pointage »</t>
  </si>
  <si>
    <t>1. Cliquer « Pointage » sur la page de connexion</t>
  </si>
  <si>
    <t>Le QR de pointage mobile s'affiche</t>
  </si>
  <si>
    <t>Session</t>
  </si>
  <si>
    <t>Expiration après inactivité</t>
  </si>
  <si>
    <t>1. Laisser la session inactive
2. Agir</t>
  </si>
  <si>
    <t>Retour à la connexion ; aucune page protégée sans session</t>
  </si>
  <si>
    <t>Droits</t>
  </si>
  <si>
    <t>Super administrateur invisible</t>
  </si>
  <si>
    <t>1. Se connecter en administrateur
2. Ouvrir la liste des utilisateurs et le Centre de support</t>
  </si>
  <si>
    <t>Super administrateur absent de la liste ; Centre de support (sauf « Me contacter ») et audit réservés</t>
  </si>
  <si>
    <t>Droits vérifiés par le serveur</t>
  </si>
  <si>
    <t>1. Profil sans le droit (ajustement, réserve, inventaire…)
2. Tenter l'action</t>
  </si>
  <si>
    <t>Refus du serveur même si le bouton est appelé directement</t>
  </si>
  <si>
    <t>Vente close par un profil prévente</t>
  </si>
  <si>
    <t>1. Profil prévente
2. Tenter de terminer une vente</t>
  </si>
  <si>
    <t>Refus : seul un caissier clôture</t>
  </si>
  <si>
    <t>Gestion de profils</t>
  </si>
  <si>
    <t>Créer, modifier, attribuer les privilèges</t>
  </si>
  <si>
    <t>1. Créer un profil
2. Le modifier, attribuer des privilèges</t>
  </si>
  <si>
    <t>Fenêtres modales, enregistrement correct</t>
  </si>
  <si>
    <t>Moyenne</t>
  </si>
  <si>
    <t>Utilisateurs</t>
  </si>
  <si>
    <t>Empreinte du mot de passe</t>
  </si>
  <si>
    <t>1. Ouvrir la liste des utilisateurs (outils du navigateur)</t>
  </si>
  <si>
    <t>Aucune empreinte de mot de passe envoyée au navigateur</t>
  </si>
  <si>
    <t>Menus</t>
  </si>
  <si>
    <t>Libellés et ordre des menus</t>
  </si>
  <si>
    <t>1. Parcourir les menus</t>
  </si>
  <si>
    <t>Libellés en MAJUSCULES, 25 caractères au plus, ordre fixe des modules</t>
  </si>
  <si>
    <t>Thèmes de menu (Métro, A, C, D)</t>
  </si>
  <si>
    <t>1. Changer de thème de menu
2. Ouvrir des écrans au clavier</t>
  </si>
  <si>
    <t>Thème retenu par utilisateur, menu actuel par défaut, aucun écran disparu</t>
  </si>
  <si>
    <t>Postes</t>
  </si>
  <si>
    <t>Rappel « date ou heure fausse »</t>
  </si>
  <si>
    <t>1. Poste à l'heure décalée</t>
  </si>
  <si>
    <t>Rappel avec « Mettre à jour » et « Masquer »</t>
  </si>
  <si>
    <t>Cahier de recette · Ventes</t>
  </si>
  <si>
    <t>Menu : SERVICE CLIENT</t>
  </si>
  <si>
    <t>Vente au comptant</t>
  </si>
  <si>
    <t>1. Nouvelle vente, scanner, quantité
2. Terminer, régler en espèces</t>
  </si>
  <si>
    <t>Ticket, stock et caisse à jour</t>
  </si>
  <si>
    <t>KO : ui-caisse-deconditionnement</t>
  </si>
  <si>
    <t>Vente assurance avec remise</t>
  </si>
  <si>
    <t>1. Vente assurance, articles, remise
2. Terminer</t>
  </si>
  <si>
    <t>Remise sur la part client de chaque produit, plafond réparti au prorata</t>
  </si>
  <si>
    <t>KO : repro-vente-assurance</t>
  </si>
  <si>
    <t>Quantité décimale</t>
  </si>
  <si>
    <t>1. Taper 1.5 en quantité</t>
  </si>
  <si>
    <t>Refus avec message clair, quantité précédente gardée</t>
  </si>
  <si>
    <t>Vendeur tapé sans être choisi</t>
  </si>
  <si>
    <t>1. Taper un vendeur, Tab
2. Ajouter un article</t>
  </si>
  <si>
    <t>Vendeur reconnu ou signalé ; le 1er article s'ajoute</t>
  </si>
  <si>
    <t>QR publicitaire scanné</t>
  </si>
  <si>
    <t>1. Scanner un QR de site internet</t>
  </si>
  <si>
    <t>« QR code publicitaire » sans fenêtre, aucune recherche</t>
  </si>
  <si>
    <t>Étiquette GS1 / DataMatrix</t>
  </si>
  <si>
    <t>1. Scanner une boîte GS1</t>
  </si>
  <si>
    <t>Produit trouvé, lot contrôlé, péremption effacée après l'ajout</t>
  </si>
  <si>
    <t>Alerte d'interactions</t>
  </si>
  <si>
    <t>1. Activer l'alerte
2. Vendre deux produits qui interagissent</t>
  </si>
  <si>
    <t>Alerte affichée ; coupée par défaut</t>
  </si>
  <si>
    <t>Points fidélité</t>
  </si>
  <si>
    <t>1. Client fidélité, case « Utiliser »
2. Régler en points</t>
  </si>
  <si>
    <t>Points déduits, restitués à l'annulation</t>
  </si>
  <si>
    <t>Nouveau client depuis la vente</t>
  </si>
  <si>
    <t>1. « Nouveau client » dans la vente
2. Enregistrer</t>
  </si>
  <si>
    <t>Client créé sans erreur JavaScript</t>
  </si>
  <si>
    <t>Ventes terminées</t>
  </si>
  <si>
    <t>Modifier une vente</t>
  </si>
  <si>
    <t>1. Ventes terminées &gt; Modifier
2. Changer, terminer</t>
  </si>
  <si>
    <t>Copie modifiée ; vente facturée ou différé réglé : refus avec la raison</t>
  </si>
  <si>
    <t>Annuler une vente</t>
  </si>
  <si>
    <t>1. Annuler
2. Annuler de nouveau</t>
  </si>
  <si>
    <t>Stock rendu, une seule annulation ; refus si en cours de modification ou différé réglé</t>
  </si>
  <si>
    <t>Colonnes et retour</t>
  </si>
  <si>
    <t>1. Ouvrir la liste, Modifier puis Retour</t>
  </si>
  <si>
    <t>Date et heure, « Différé », poste ; retour avec les mêmes critères</t>
  </si>
  <si>
    <t>Prévente</t>
  </si>
  <si>
    <t>Ticket de prévente scanné</t>
  </si>
  <si>
    <t>1. Scanner le ticket en caisse</t>
  </si>
  <si>
    <t>Prévente retrouvée (même lu « 261025)00145 ») ; QR dans le rouleau</t>
  </si>
  <si>
    <t>Vente dépôt</t>
  </si>
  <si>
    <t>Vente à un dépôt</t>
  </si>
  <si>
    <t>1. Nouvelle vente dépôt, articles, terminer</t>
  </si>
  <si>
    <t>Stocks officine et dépôt à jour ; historique cohérent</t>
  </si>
  <si>
    <t>Proforma</t>
  </si>
  <si>
    <t>1. Nouveau proforma, client, articles, imprimer</t>
  </si>
  <si>
    <t>Aucun mouvement de stock</t>
  </si>
  <si>
    <t>Cahier de recette · Caisse et gestion courante</t>
  </si>
  <si>
    <t>Menu : GESTION COURANTE</t>
  </si>
  <si>
    <t>Ouverture / clôture</t>
  </si>
  <si>
    <t>Ouvrir puis clôturer la caisse</t>
  </si>
  <si>
    <t>1. Ouvrir avec le fonds
2. Ventes
3. Clôturer</t>
  </si>
  <si>
    <t>Billetage et total conformes ; « négatif = manquant »</t>
  </si>
  <si>
    <t>Gestion de caisse</t>
  </si>
  <si>
    <t>Données du jour à l'ouverture</t>
  </si>
  <si>
    <t>1. Ouvrir Gestion de caisse</t>
  </si>
  <si>
    <t>Données du jour affichées sans recherche</t>
  </si>
  <si>
    <t>Onglet Analyse des écarts</t>
  </si>
  <si>
    <t>1. Ouvrir l'onglet</t>
  </si>
  <si>
    <t>Écarts par caissier et par jour</t>
  </si>
  <si>
    <t>Ticket Z</t>
  </si>
  <si>
    <t>1. Éditer le Ticket Z du jour, imprimer</t>
  </si>
  <si>
    <t>Totaux = caisse ; écran sans iframe ; moins de 2 s</t>
  </si>
  <si>
    <t>Balance</t>
  </si>
  <si>
    <t>Balance vente / caisse PDF</t>
  </si>
  <si>
    <t>1. Choisir la période, imprimer</t>
  </si>
  <si>
    <t>Officine centrée, « Imprimé le … par » en bas à droite, résumé sur deux colonnes</t>
  </si>
  <si>
    <t>Liste des caisses</t>
  </si>
  <si>
    <t>Impression de la liste</t>
  </si>
  <si>
    <t>1. Imprimer un mois</t>
  </si>
  <si>
    <t>PDF en quelques secondes</t>
  </si>
  <si>
    <t>Mouvements de caisse</t>
  </si>
  <si>
    <t>Entrée / sortie et édition</t>
  </si>
  <si>
    <t>1. Saisir un mouvement
2. Éditer</t>
  </si>
  <si>
    <t>Mouvement pris dans la clôture ; édition correcte</t>
  </si>
  <si>
    <t>Journal</t>
  </si>
  <si>
    <t>Journal complet</t>
  </si>
  <si>
    <t>1. Filtrer par poste
2. Afficher les alertes</t>
  </si>
  <si>
    <t>Poste, IP, application ; annulations en série signalées</t>
  </si>
  <si>
    <t>Cahier de recette · Facturation et différés</t>
  </si>
  <si>
    <t>Menu : FACTURATION</t>
  </si>
  <si>
    <t>Différés</t>
  </si>
  <si>
    <t>Régler un différé</t>
  </si>
  <si>
    <t>1. Choisir le client
2. Règlement partiel puis total</t>
  </si>
  <si>
    <t>Solde exact ; contrôles du serveur (appartenance, montant, total)</t>
  </si>
  <si>
    <t>Modifier une vente différée</t>
  </si>
  <si>
    <t>1. Modifier une vente différée non réglée</t>
  </si>
  <si>
    <t>Solde recalculé, aucune dette en double</t>
  </si>
  <si>
    <t>Solde et relevé PDF / Excel</t>
  </si>
  <si>
    <t>1. Onglet Solde, période
2. Imprimer, exporter</t>
  </si>
  <si>
    <t>Montants « 4 000 » avec séparateur ; mêmes chiffres qu'à l'écran</t>
  </si>
  <si>
    <t>Factures</t>
  </si>
  <si>
    <t>Générer les factures</t>
  </si>
  <si>
    <t>1. Générer pour un organisme</t>
  </si>
  <si>
    <t>Numérotation sans doublon, même en concurrence</t>
  </si>
  <si>
    <t>Cachet / signature</t>
  </si>
  <si>
    <t>1. Imprimer une facture</t>
  </si>
  <si>
    <t>Cachet / signature à la place de « LE PHARMACIEN »</t>
  </si>
  <si>
    <t>Icônes de la liste</t>
  </si>
  <si>
    <t>1. Ouvrir la liste des factures et des factures de groupe</t>
  </si>
  <si>
    <t>Icônes au trait (supprimer, régler, verrou, certifier)</t>
  </si>
  <si>
    <t>Factures subrogatoires</t>
  </si>
  <si>
    <t>Liste et impression</t>
  </si>
  <si>
    <t>1. Période, recherche, imprimer</t>
  </si>
  <si>
    <t>Mêmes ventes que l'ancienne liste ; PDF en onglet</t>
  </si>
  <si>
    <t>Règlements</t>
  </si>
  <si>
    <t>Liste des règlements</t>
  </si>
  <si>
    <t>1. Filtrer, imprimer</t>
  </si>
  <si>
    <t>Règlements de la période, totaux justes</t>
  </si>
  <si>
    <t>Récap organisme</t>
  </si>
  <si>
    <t>Récapitulatif par organisme</t>
  </si>
  <si>
    <t>1. Choisir l'organisme et la période</t>
  </si>
  <si>
    <t>Totaux = factures ; édition PDF</t>
  </si>
  <si>
    <t>Cahier de recette · Tiers-payants et clients</t>
  </si>
  <si>
    <t>Menu : GESTION DES TIERS-PAYANTS · GESTION CLIENT</t>
  </si>
  <si>
    <t>Fiche client</t>
  </si>
  <si>
    <t>Assurances complémentaires</t>
  </si>
  <si>
    <t>1. Fiche client &gt; assurances
2. Modifier taux, matricule, priorité</t>
  </si>
  <si>
    <t>Enregistrés ; priorité unique contrôlée</t>
  </si>
  <si>
    <t>Nouveau tiers payant principal</t>
  </si>
  <si>
    <t>1. Associer un nouveau RO</t>
  </si>
  <si>
    <t>Ancien RO gardé actif, priorités cohérentes</t>
  </si>
  <si>
    <t>Vente</t>
  </si>
  <si>
    <t>Modifier le tiers payant d'une vente</t>
  </si>
  <si>
    <t>1. Vente en cours &gt; Modifier le tiers-payant</t>
  </si>
  <si>
    <t>Pas d'erreur ; part de la vente gardée au même taux</t>
  </si>
  <si>
    <t>Vente en dépôt</t>
  </si>
  <si>
    <t>Grille des complémentaires</t>
  </si>
  <si>
    <t>1. Vente en dépôt, client
2. Modifier la grille</t>
  </si>
  <si>
    <t>Mêmes contrôles que la fiche client ; fenêtres qui se ferment</t>
  </si>
  <si>
    <t>Clients</t>
  </si>
  <si>
    <t>Recherche « commence par / contient »</t>
  </si>
  <si>
    <t>1. Rechercher un client par un morceau du nom</t>
  </si>
  <si>
    <t>Trouvé en « Contient » seulement ; téléphone avec ou sans séparateurs</t>
  </si>
  <si>
    <t>Import et filtre Type client</t>
  </si>
  <si>
    <t>1. « Importer »
2. Filtrer par type</t>
  </si>
  <si>
    <t>Un seul bouton Importer, filtre séparé de la recherche</t>
  </si>
  <si>
    <t>Carnet dépôt</t>
  </si>
  <si>
    <t>Gérer carnet dépôt</t>
  </si>
  <si>
    <t>1. Choisir un carnet</t>
  </si>
  <si>
    <t>Seuls les carnets en dépôt sont proposés ; recherche lancée</t>
  </si>
  <si>
    <t>Retour carnet scanné</t>
  </si>
  <si>
    <t>1. Nouveau retour, scanner le produit</t>
  </si>
  <si>
    <t>Code lu encodé (« / » et « # » acceptés)</t>
  </si>
  <si>
    <t>Tiers payants désactivés</t>
  </si>
  <si>
    <t>Liste</t>
  </si>
  <si>
    <t>1. Ouvrir, rechercher</t>
  </si>
  <si>
    <t>Liste remplie, recherche OK</t>
  </si>
  <si>
    <t>Suivi dossier client</t>
  </si>
  <si>
    <t>Fiche et suivi de consommation</t>
  </si>
  <si>
    <t>1. Ouvrir un client
2. Par vente / par produit</t>
  </si>
  <si>
    <t>Date de naissance et sexe complétables, suivi correct</t>
  </si>
  <si>
    <t>Cahier de recette · Commandes et PharmaML</t>
  </si>
  <si>
    <t>Menu : GESTION DES COMMANDES</t>
  </si>
  <si>
    <t>Suggestion</t>
  </si>
  <si>
    <t>Créer une suggestion (grand volume)</t>
  </si>
  <si>
    <t>1. Analyse tiers payant ou articles vendus
2. « Créer une suggestion »</t>
  </si>
  <si>
    <t>Suggestion créée en moins d'une minute (4 186 produits : 21 s)</t>
  </si>
  <si>
    <t>Produit géré en réserve</t>
  </si>
  <si>
    <t>1. Vendre un produit en réserve</t>
  </si>
  <si>
    <t>Comparé au seuil avec rayon + réserve ; réassort plafonné au rayon</t>
  </si>
  <si>
    <t>Équivalents DCI</t>
  </si>
  <si>
    <t>1. Ouvrir une suggestion
2. « Équivalents DCI »</t>
  </si>
  <si>
    <t>Couverture, retrait, reliquat commandé, journal</t>
  </si>
  <si>
    <t>PharmaML</t>
  </si>
  <si>
    <t>Commander par PharmaML</t>
  </si>
  <si>
    <t>1. « Commander » au bas de la suggestion</t>
  </si>
  <si>
    <t>Envoi en arrière-plan, statut et réponse sur la ligne</t>
  </si>
  <si>
    <t>Commandes en cours</t>
  </si>
  <si>
    <t>Onglets Ruptures, Substitutions, Alertes</t>
  </si>
  <si>
    <t>1. Ouvrir les onglets</t>
  </si>
  <si>
    <t>Ruptures (heure, motif), substitutions suivies, alertes</t>
  </si>
  <si>
    <t>Supprimer une commande</t>
  </si>
  <si>
    <t>1. Icône de suppression, 2e clic</t>
  </si>
  <si>
    <t>Confirmation dans l'icône, pas de fenêtre ; pas d'erreur au 2e envoi</t>
  </si>
  <si>
    <t>Import de commande annulé</t>
  </si>
  <si>
    <t>1. Importer, puis Annuler</t>
  </si>
  <si>
    <t>Rien de créé, écran propre</t>
  </si>
  <si>
    <t>Entrée en stock</t>
  </si>
  <si>
    <t>Entrée d'un BL</t>
  </si>
  <si>
    <t>1. Entrer le BL
2. Prix, lots, réserve</t>
  </si>
  <si>
    <t>Stocks, prix et lots justes ; suggestion de réserve ouverte au seuil</t>
  </si>
  <si>
    <t>KO : test-prix-bl</t>
  </si>
  <si>
    <t>Pointage BL</t>
  </si>
  <si>
    <t>Pointer les BL / avoirs</t>
  </si>
  <si>
    <t>1. Importer le relevé du grossiste</t>
  </si>
  <si>
    <t>Rapprochement BL / avoirs, colonnes mémorisées par grossiste</t>
  </si>
  <si>
    <t>Péremptions courtes</t>
  </si>
  <si>
    <t>Écran et exports</t>
  </si>
  <si>
    <t>1. Filtrer, changer un statut dans la grille
2. Excel, PDF</t>
  </si>
  <si>
    <t>Statut enregistré sans fenêtre ; exports corrects</t>
  </si>
  <si>
    <t>Retours fournisseurs</t>
  </si>
  <si>
    <t>Retour par utilisateur</t>
  </si>
  <si>
    <t>1. Filtrer par utilisateur
2. Tableau de bord, impression</t>
  </si>
  <si>
    <t>Stock jamais négatif ; retours par utilisateur</t>
  </si>
  <si>
    <t>Cahier de recette · Stock</t>
  </si>
  <si>
    <t>Menu : GESTION DU STOCK</t>
  </si>
  <si>
    <t>Fiche article</t>
  </si>
  <si>
    <t>Détail, courbes, comparaison</t>
  </si>
  <si>
    <t>1. Ouvrir un article vendu sur 2 ans
2. Courbes, « Comparer »</t>
  </si>
  <si>
    <t>Comparaison des années, sections conservées</t>
  </si>
  <si>
    <t>Lots et péremptions</t>
  </si>
  <si>
    <t>1. Voir les lots
2. Supprimer un lot (2 clics)</t>
  </si>
  <si>
    <t>Lot supprimé, liste rechargée ; « Qté restante lot »</t>
  </si>
  <si>
    <t>Dernière entrée et EAN fabricant</t>
  </si>
  <si>
    <t>1. Ouvrir Modifier et Détail</t>
  </si>
  <si>
    <t>Dern. entrée = mise en stock ; EAN en lecture seule au détail</t>
  </si>
  <si>
    <t>Inventaire</t>
  </si>
  <si>
    <t>Inventaire partiel, saisie, clôture</t>
  </si>
  <si>
    <t>1. Créer par lettres du nom
2. Saisir, clôturer</t>
  </si>
  <si>
    <t>Aucune saisie après clôture ; auteur enregistré</t>
  </si>
  <si>
    <t>Ajustement</t>
  </si>
  <si>
    <t>Ajustement du stock</t>
  </si>
  <si>
    <t>1. Créer, clôturer</t>
  </si>
  <si>
    <t>Une seule clôture, pas d'annulation après</t>
  </si>
  <si>
    <t>Réserve</t>
  </si>
  <si>
    <t>Suggestions de réassort</t>
  </si>
  <si>
    <t>1. Ouvrir la réserve
2. Suggestions</t>
  </si>
  <si>
    <t>Réassort proposé, icônes dessinées</t>
  </si>
  <si>
    <t>Emplacements</t>
  </si>
  <si>
    <t>Basculement d'emplacement</t>
  </si>
  <si>
    <t>1. Basculer depuis une ligne</t>
  </si>
  <si>
    <t>Origine en tête, produits actifs seulement</t>
  </si>
  <si>
    <t>Périmés</t>
  </si>
  <si>
    <t>Saisie et onglet Analyse</t>
  </si>
  <si>
    <t>1. Saisir des périmés
2. Analyse : objectif, intervalles</t>
  </si>
  <si>
    <t>Taux vs objectif, intervalles = total de la période</t>
  </si>
  <si>
    <t>Déconditionnement</t>
  </si>
  <si>
    <t>Historique des mouvements</t>
  </si>
  <si>
    <t>1. Vendre au détail une boîte ouverte</t>
  </si>
  <si>
    <t>Chaîne cohérente : ouverture puis vente</t>
  </si>
  <si>
    <t>Comparaison stock</t>
  </si>
  <si>
    <t>Exports et impression</t>
  </si>
  <si>
    <t>1. Exporter Excel / CSV, imprimer</t>
  </si>
  <si>
    <t>Quelques secondes (327 s avant)</t>
  </si>
  <si>
    <t>Cahier de recette · Étiquettes</t>
  </si>
  <si>
    <t>Menu : GESTION DU STOCK &gt; Étiquettage Pro</t>
  </si>
  <si>
    <t>Étiquettage Pro</t>
  </si>
  <si>
    <t>Imprimer depuis une entrée en stock</t>
  </si>
  <si>
    <t>1. Entrée en stock &gt; étiquettes</t>
  </si>
  <si>
    <t>Écran épuré, « Retour à commande en cours »</t>
  </si>
  <si>
    <t>Lire une étiquette</t>
  </si>
  <si>
    <t>1. « Lire une étiquette », scanner deux fois de suite</t>
  </si>
  <si>
    <t>Aucun chiffre perdu, produit reconnu</t>
  </si>
  <si>
    <t>Codes GS1 QR / DataMatrix</t>
  </si>
  <si>
    <t>1. Imprimer une planche GS1</t>
  </si>
  <si>
    <t>Codes lisibles, informations à gauche</t>
  </si>
  <si>
    <t>Personnalisation de la disposition</t>
  </si>
  <si>
    <t>1. Modifier la disposition, valider
2. Imprimer</t>
  </si>
  <si>
    <t>Disposition appliquée ; droit réservé à l'administrateur</t>
  </si>
  <si>
    <t>Saisie à la main</t>
  </si>
  <si>
    <t>1. Rechercher, choisir le lot, quantité au clavier</t>
  </si>
  <si>
    <t>Enchaînement au clavier sans souris</t>
  </si>
  <si>
    <t>Types d'étiquette</t>
  </si>
  <si>
    <t>1. Filtrer, cocher des produits</t>
  </si>
  <si>
    <t>Filtres sur une ligne, mise à jour sélective</t>
  </si>
  <si>
    <t>Ancien menu Gestion étiquette</t>
  </si>
  <si>
    <t>Passerelle</t>
  </si>
  <si>
    <t>1. Ouvrir l'ancien menu</t>
  </si>
  <si>
    <t>7 derniers jours par défaut ; impression par Étiquettage Pro</t>
  </si>
  <si>
    <t>Cahier de recette · Analyse et pilotage</t>
  </si>
  <si>
    <t>Menu : ANALYSE DE GESTION</t>
  </si>
  <si>
    <t>Tableau de bord</t>
  </si>
  <si>
    <t>Tuiles et courbes</t>
  </si>
  <si>
    <t>1. Ouvrir le tableau de bord</t>
  </si>
  <si>
    <t>Mêmes chiffres que l'ancien ; valorisation rayon et total</t>
  </si>
  <si>
    <t>Carte d'affluence</t>
  </si>
  <si>
    <t>1. Choisir une semaine</t>
  </si>
  <si>
    <t>Carte jour × heure correcte</t>
  </si>
  <si>
    <t>Pilotage</t>
  </si>
  <si>
    <t>Onglets À suivre, Stock, Qualité</t>
  </si>
  <si>
    <t>1. Ouvrir chaque onglet</t>
  </si>
  <si>
    <t>Chiffres = base (annulations, péremptions &lt; 6 mois)</t>
  </si>
  <si>
    <t>Rentabilité</t>
  </si>
  <si>
    <t>1. Saisir les charges du mois</t>
  </si>
  <si>
    <t>Résultat net calculé</t>
  </si>
  <si>
    <t>Audit &amp; rapprochements</t>
  </si>
  <si>
    <t>Analyse, rapports, régularisations</t>
  </si>
  <si>
    <t>1. Proposer, commenter, valider</t>
  </si>
  <si>
    <t>Sans commentaire : refus ; appliquées une seule fois, journalisées</t>
  </si>
  <si>
    <t>Statistiques</t>
  </si>
  <si>
    <t>Familles, rayons, grossistes</t>
  </si>
  <si>
    <t>1. Période sans vente puis normale</t>
  </si>
  <si>
    <t>Aucune erreur ; résultats en quelques secondes</t>
  </si>
  <si>
    <t>CA par zone / dépôt</t>
  </si>
  <si>
    <t>CA et PDF par laboratoire</t>
  </si>
  <si>
    <t>1. Filtres multiples, imprimer</t>
  </si>
  <si>
    <t>Noms des filtres sur l'édition, montants « 1 234 »</t>
  </si>
  <si>
    <t>Activité des équipes</t>
  </si>
  <si>
    <t>Données et analyses</t>
  </si>
  <si>
    <t>1. Filtrer, « Vider les champs »</t>
  </si>
  <si>
    <t>Pastilles stables, infobulles entières</t>
  </si>
  <si>
    <t>Anomalies par employé</t>
  </si>
  <si>
    <t>Onglet Anomalies</t>
  </si>
  <si>
    <t>1. Ouvrir, filtrer un employé</t>
  </si>
  <si>
    <t>Chaque occurrence et son fil d'actions</t>
  </si>
  <si>
    <t>Rappels traitement</t>
  </si>
  <si>
    <t>Onglet Analyse et exports</t>
  </si>
  <si>
    <t>1. Ouvrir, exporter PDF / CSV</t>
  </si>
  <si>
    <t>Analyse et exports corrects</t>
  </si>
  <si>
    <t>Cahier de recette · Campagnes et avis clients</t>
  </si>
  <si>
    <t>Menu : CAMPAGNES SMS / WHATSAPP · AVIS CLIENTS</t>
  </si>
  <si>
    <t>Campagnes</t>
  </si>
  <si>
    <t>Campagne WhatsApp avec pièce jointe</t>
  </si>
  <si>
    <t>1. Nouvelle campagne, image ou PDF
2. Envoyer</t>
  </si>
  <si>
    <t>WhatsApp par défaut, suivi des envois</t>
  </si>
  <si>
    <t>Listes de diffusion et automatiques</t>
  </si>
  <si>
    <t>1. Créer une liste
2. Régler un envoi automatique</t>
  </si>
  <si>
    <t>10 onglets ; délai de réponse paramétrable</t>
  </si>
  <si>
    <t>Discussions</t>
  </si>
  <si>
    <t>Réponses clients et STOP</t>
  </si>
  <si>
    <t>1. Un client répond STOP</t>
  </si>
  <si>
    <t>Fil de discussion, motif STOP visible, plus d'envoi</t>
  </si>
  <si>
    <t>Bannière WhatsApp</t>
  </si>
  <si>
    <t>Session à reconnecter</t>
  </si>
  <si>
    <t>1. Couper le service WhatsApp</t>
  </si>
  <si>
    <t>Toast pour l'administrateur seulement, « Reconnecter » relance</t>
  </si>
  <si>
    <t>Avis clients</t>
  </si>
  <si>
    <t>Saisie publique et analyse</t>
  </si>
  <si>
    <t>1. Saisir un avis par la page publique
2. Analyse, réglages, affiche</t>
  </si>
  <si>
    <t>Avis enregistré, analyse et affiche PDF</t>
  </si>
  <si>
    <t>Sécurité</t>
  </si>
  <si>
    <t>Jetons hors du navigateur</t>
  </si>
  <si>
    <t>1. Ouvrir les écrans (outils du navigateur)</t>
  </si>
  <si>
    <t>Aucun jeton WhatsApp ni identifiant SMS côté navigateur</t>
  </si>
  <si>
    <t>Cahier de recette · Ressources humaines</t>
  </si>
  <si>
    <t>Menu : RESSOURCES HUMAINES</t>
  </si>
  <si>
    <t>Employés</t>
  </si>
  <si>
    <t>Créer un employé depuis un utilisateur</t>
  </si>
  <si>
    <t>1. Nouvel employé, choisir l'utilisateur</t>
  </si>
  <si>
    <t>Fiche en fenêtre modale</t>
  </si>
  <si>
    <t>Badges</t>
  </si>
  <si>
    <t>Créer et imprimer un badge</t>
  </si>
  <si>
    <t>1. Créer, imprimer (une carte par page)</t>
  </si>
  <si>
    <t>N° PRE-AA-NNNNN-C, QR centré, nom sur une ligne</t>
  </si>
  <si>
    <t>Régénérer un badge</t>
  </si>
  <si>
    <t>1. Régénérer le QR
2. Scanner l'ancien</t>
  </si>
  <si>
    <t>Ancien refusé ; réimpression identique sinon</t>
  </si>
  <si>
    <t>Pointage</t>
  </si>
  <si>
    <t>Pointer avec l'application</t>
  </si>
  <si>
    <t>1. Pointer par QR + GPS</t>
  </si>
  <si>
    <t>Pointage enregistré avec photo de contrôle</t>
  </si>
  <si>
    <t>Bornes de pointage</t>
  </si>
  <si>
    <t>Enrôler une borne</t>
  </si>
  <si>
    <t>1. Onglet Bornes, enrôler</t>
  </si>
  <si>
    <t>Appels signés acceptés sans session</t>
  </si>
  <si>
    <t>Demandes</t>
  </si>
  <si>
    <t>Valider une demande</t>
  </si>
  <si>
    <t>1. Profil sans droit puis avec</t>
  </si>
  <si>
    <t>Chacun ne voit que ses demandes ; validation selon le droit</t>
  </si>
  <si>
    <t>Éditions</t>
  </si>
  <si>
    <t>PDF de chaque onglet</t>
  </si>
  <si>
    <t>1. Imprimer chaque onglet</t>
  </si>
  <si>
    <t>PDF lisibles</t>
  </si>
  <si>
    <t>Cahier de recette · Support et serveur</t>
  </si>
  <si>
    <t>Menu : CENTRE DE SUPPORT</t>
  </si>
  <si>
    <t>Stabilité du serveur</t>
  </si>
  <si>
    <t>État, arrêts, réglages</t>
  </si>
  <si>
    <t>1. Ouvrir l'écran</t>
  </si>
  <si>
    <t>Tuiles mémoire, base, pool ; courbes ; lexique</t>
  </si>
  <si>
    <t>Diagnostic &amp; bugs</t>
  </si>
  <si>
    <t>Aucune nouvelle erreur</t>
  </si>
  <si>
    <t>1. Après la recette, ouvrir le diagnostic</t>
  </si>
  <si>
    <t>Pas de nouvelle erreur due aux tests</t>
  </si>
  <si>
    <t>KO : test-saisie-ecrans</t>
  </si>
  <si>
    <t>Détails de vente</t>
  </si>
  <si>
    <t>Lignes d'une vente</t>
  </si>
  <si>
    <t>1. Ouvrir le détail, actualiser</t>
  </si>
  <si>
    <t>Réponse immédiate, lignes gardées</t>
  </si>
  <si>
    <t>Anomalies lot 1 et 4</t>
  </si>
  <si>
    <t>Corrections du centre de support</t>
  </si>
  <si>
    <t>1. Rejouer les cas (proforma sans client, findone…)</t>
  </si>
  <si>
    <t>Plus d'erreur ; réponses lisibles</t>
  </si>
  <si>
    <t>KO : test-lot1-ecrans</t>
  </si>
  <si>
    <t>Auto-diagnostic</t>
  </si>
  <si>
    <t>Migrations et contrôle de nuit</t>
  </si>
  <si>
    <t>1. Ouvrir l'auto-diagnostic</t>
  </si>
  <si>
    <t>Migration en échec signalée ; pas de fausse alerte quotidienne</t>
  </si>
  <si>
    <t>Journaux</t>
  </si>
  <si>
    <t>Aucun secret</t>
  </si>
  <si>
    <t>1. Lire server.log après la recette</t>
  </si>
  <si>
    <t>Ni mot de passe, ni jeton, ni texte de message patient</t>
  </si>
  <si>
    <t>Cahier de recette · Performances et charge</t>
  </si>
  <si>
    <t>Menu : Tous menus</t>
  </si>
  <si>
    <t>15 postes en même temps</t>
  </si>
  <si>
    <t>1. Connecter 15 postes ensemble</t>
  </si>
  <si>
    <t>Tous connectés en quelques secondes (scripts en un seul appel)</t>
  </si>
  <si>
    <t>Ventes simultanées du même article</t>
  </si>
  <si>
    <t>1. Deux caisses vendent le même article</t>
  </si>
  <si>
    <t>Stock exact, aucune vente perdue</t>
  </si>
  <si>
    <t>Écrans</t>
  </si>
  <si>
    <t>Ouverture des écrans principaux</t>
  </si>
  <si>
    <t>1. Ouvrir Ventes, Pilotage, Fiche article</t>
  </si>
  <si>
    <t>Utilisables en moins de 3 s</t>
  </si>
  <si>
    <t>KO : test-defilement-ecrans</t>
  </si>
  <si>
    <t>Lectures</t>
  </si>
  <si>
    <t>Aucune lecture de plus de 30 s</t>
  </si>
  <si>
    <t>1. Parcourir les écrans de liste</t>
  </si>
  <si>
    <t>Toutes les listes en moins de 30 s (lots sans filtre à surveiller)</t>
  </si>
  <si>
    <t>KO : test-saisie-api</t>
  </si>
  <si>
    <t>Exports</t>
  </si>
  <si>
    <t>Exports lourds</t>
  </si>
  <si>
    <t>1. Export ERP d'une semaine
2. Comparaison stock</t>
  </si>
  <si>
    <t>Quelques secondes au lieu de plusieurs minutes</t>
  </si>
  <si>
    <t>Mobile</t>
  </si>
  <si>
    <t>Application mobile</t>
  </si>
  <si>
    <t>1. Infos produit, BL de 500 lignes</t>
  </si>
  <si>
    <t>Réponses en 1 à 3 s</t>
  </si>
  <si>
    <t>KO : test-mobile-54-55</t>
  </si>
  <si>
    <t>Cahier de recette · Éditions et modèles</t>
  </si>
  <si>
    <t>Menu : Toutes éditions</t>
  </si>
  <si>
    <t>Modèles d'état</t>
  </si>
  <si>
    <t>Modèles du dossier des rapports</t>
  </si>
  <si>
    <t>1. Comparer le dossier REPORTS du serveur au dépôt</t>
  </si>
  <si>
    <t>balance, analyse d'inventaire, garde : version du dépôt</t>
  </si>
  <si>
    <t>Montants</t>
  </si>
  <si>
    <t>Séparateur des milliers</t>
  </si>
  <si>
    <t>1. Imprimer relevé de différés, carnet, récap caisse</t>
  </si>
  <si>
    <t>« 4 000 » et non « 4000 »</t>
  </si>
  <si>
    <t>Dossier PDF</t>
  </si>
  <si>
    <t>Dossier des éditions</t>
  </si>
  <si>
    <t>1. Démarrer sur un serveur neuf
2. Imprimer</t>
  </si>
  <si>
    <t>data/reports/pdf créé automatiquement</t>
  </si>
  <si>
    <t>Ouverture</t>
  </si>
  <si>
    <t>PDF en onglet</t>
  </si>
  <si>
    <t>1. Imprimer depuis différents écrans</t>
  </si>
  <si>
    <t>PDF ouvert dans un onglet, en flux</t>
  </si>
  <si>
    <t>Filtres</t>
  </si>
  <si>
    <t>Noms des filtres sur les éditions</t>
  </si>
  <si>
    <t>1. Filtrer rayons / familles, imprimer</t>
  </si>
  <si>
    <t>Filtres repris en en-tête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</si>
</sst>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95959"/>
      <name val="Arial"/>
    </font>
    <font>
      <sz val="9"/>
      <color rgb="FF595959"/>
      <name val="Arial"/>
    </font>
    <font>
      <b/>
      <sz val="9"/>
      <name val="Arial"/>
    </font>
    <font>
      <b/>
      <sz val="9"/>
      <color rgb="FF1F4E78"/>
      <name val="Arial"/>
    </font>
    <font>
      <i/>
      <sz val="8"/>
      <color rgb="FF595959"/>
      <name val="Arial"/>
    </font>
    <font>
      <b/>
      <sz val="9"/>
      <color rgb="FFFFFFFF"/>
      <name val="Arial"/>
    </font>
    <font>
      <sz val="8"/>
      <name val="Arial"/>
    </font>
    <font>
      <b/>
      <sz val="8"/>
      <name val="Arial"/>
    </font>
    <font>
      <sz val="8"/>
      <color rgb="FF0000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8DC"/>
      </patternFill>
    </fill>
    <fill>
      <patternFill patternType="solid">
        <fgColor rgb="FFEEF4F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5" borderId="1" xfId="0" applyFill="1" applyBorder="1"/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42"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workbookViewId="0">
      <selection sqref="A1:I1"/>
    </sheetView>
  </sheetViews>
  <sheetFormatPr baseColWidth="10" defaultColWidth="9.140625" defaultRowHeight="15" x14ac:dyDescent="0.25"/>
  <cols>
    <col min="1" max="1" width="28" customWidth="1"/>
    <col min="2" max="2" width="40" customWidth="1"/>
    <col min="3" max="5" width="7" customWidth="1"/>
    <col min="6" max="6" width="8" customWidth="1"/>
    <col min="7" max="7" width="10" customWidth="1"/>
    <col min="8" max="8" width="16" customWidth="1"/>
    <col min="9" max="9" width="11" customWidth="1"/>
  </cols>
  <sheetData>
    <row r="1" spans="1:9" ht="18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</row>
    <row r="4" spans="1:9" ht="2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5">
      <c r="A5" s="2" t="s">
        <v>11</v>
      </c>
      <c r="B5" s="3" t="s">
        <v>12</v>
      </c>
      <c r="C5" s="4">
        <f>COUNTA('Connexion et sécurité'!$A$6:$A$19)</f>
        <v>14</v>
      </c>
      <c r="D5" s="4">
        <f>COUNTIF('Connexion et sécurité'!$H$6:$H$19,"OK")</f>
        <v>0</v>
      </c>
      <c r="E5" s="4">
        <f>COUNTIF('Connexion et sécurité'!$H$6:$H$19,"KO")</f>
        <v>0</v>
      </c>
      <c r="F5" s="4">
        <f>COUNTIF('Connexion et sécurité'!$H$6:$H$19,"Bloqué")</f>
        <v>0</v>
      </c>
      <c r="G5" s="4">
        <f>C5-COUNTA('Connexion et sécurité'!$H$6:$H$19)</f>
        <v>14</v>
      </c>
      <c r="H5" s="4" t="str">
        <f>COUNTIF('Connexion et sécurité'!$G$6:$G$19,"OK")&amp;" / "&amp;COUNTIF('Connexion et sécurité'!$G$6:$G$19,"KO")</f>
        <v>2 / 0</v>
      </c>
      <c r="I5" s="5">
        <f t="shared" ref="I5:I19" si="0">IF(C5=0,0,(D5+E5+F5)/C5)</f>
        <v>0</v>
      </c>
    </row>
    <row r="6" spans="1:9" x14ac:dyDescent="0.25">
      <c r="A6" s="6" t="s">
        <v>13</v>
      </c>
      <c r="B6" s="7" t="s">
        <v>14</v>
      </c>
      <c r="C6" s="8">
        <f>COUNTA(Ventes!$A$6:$A$20)</f>
        <v>15</v>
      </c>
      <c r="D6" s="8">
        <f>COUNTIF(Ventes!$H$6:$H$20,"OK")</f>
        <v>0</v>
      </c>
      <c r="E6" s="8">
        <f>COUNTIF(Ventes!$H$6:$H$20,"KO")</f>
        <v>0</v>
      </c>
      <c r="F6" s="8">
        <f>COUNTIF(Ventes!$H$6:$H$20,"Bloqué")</f>
        <v>0</v>
      </c>
      <c r="G6" s="8">
        <f>C6-COUNTA(Ventes!$H$6:$H$20)</f>
        <v>15</v>
      </c>
      <c r="H6" s="8" t="str">
        <f>COUNTIF(Ventes!$G$6:$G$20,"OK")&amp;" / "&amp;COUNTIF(Ventes!$G$6:$G$20,"KO")</f>
        <v>10 / 2</v>
      </c>
      <c r="I6" s="9">
        <f t="shared" si="0"/>
        <v>0</v>
      </c>
    </row>
    <row r="7" spans="1:9" x14ac:dyDescent="0.25">
      <c r="A7" s="2" t="s">
        <v>15</v>
      </c>
      <c r="B7" s="3" t="s">
        <v>16</v>
      </c>
      <c r="C7" s="4">
        <f>COUNTA('Caisse et gestion courante'!$A$6:$A$13)</f>
        <v>8</v>
      </c>
      <c r="D7" s="4">
        <f>COUNTIF('Caisse et gestion courante'!$H$6:$H$13,"OK")</f>
        <v>0</v>
      </c>
      <c r="E7" s="4">
        <f>COUNTIF('Caisse et gestion courante'!$H$6:$H$13,"KO")</f>
        <v>0</v>
      </c>
      <c r="F7" s="4">
        <f>COUNTIF('Caisse et gestion courante'!$H$6:$H$13,"Bloqué")</f>
        <v>0</v>
      </c>
      <c r="G7" s="4">
        <f>C7-COUNTA('Caisse et gestion courante'!$H$6:$H$13)</f>
        <v>8</v>
      </c>
      <c r="H7" s="4" t="str">
        <f>COUNTIF('Caisse et gestion courante'!$G$6:$G$13,"OK")&amp;" / "&amp;COUNTIF('Caisse et gestion courante'!$G$6:$G$13,"KO")</f>
        <v>2 / 0</v>
      </c>
      <c r="I7" s="5">
        <f t="shared" si="0"/>
        <v>0</v>
      </c>
    </row>
    <row r="8" spans="1:9" x14ac:dyDescent="0.25">
      <c r="A8" s="6" t="s">
        <v>17</v>
      </c>
      <c r="B8" s="7" t="s">
        <v>18</v>
      </c>
      <c r="C8" s="8">
        <f>COUNTA('Facturation et différés'!$A$6:$A$14)</f>
        <v>9</v>
      </c>
      <c r="D8" s="8">
        <f>COUNTIF('Facturation et différés'!$H$6:$H$14,"OK")</f>
        <v>0</v>
      </c>
      <c r="E8" s="8">
        <f>COUNTIF('Facturation et différés'!$H$6:$H$14,"KO")</f>
        <v>0</v>
      </c>
      <c r="F8" s="8">
        <f>COUNTIF('Facturation et différés'!$H$6:$H$14,"Bloqué")</f>
        <v>0</v>
      </c>
      <c r="G8" s="8">
        <f>C8-COUNTA('Facturation et différés'!$H$6:$H$14)</f>
        <v>9</v>
      </c>
      <c r="H8" s="8" t="str">
        <f>COUNTIF('Facturation et différés'!$G$6:$G$14,"OK")&amp;" / "&amp;COUNTIF('Facturation et différés'!$G$6:$G$14,"KO")</f>
        <v>8 / 0</v>
      </c>
      <c r="I8" s="9">
        <f t="shared" si="0"/>
        <v>0</v>
      </c>
    </row>
    <row r="9" spans="1:9" x14ac:dyDescent="0.25">
      <c r="A9" s="2" t="s">
        <v>19</v>
      </c>
      <c r="B9" s="3" t="s">
        <v>20</v>
      </c>
      <c r="C9" s="4">
        <f>COUNTA('Tiers-payants et clients'!$A$6:$A$15)</f>
        <v>10</v>
      </c>
      <c r="D9" s="4">
        <f>COUNTIF('Tiers-payants et clients'!$H$6:$H$15,"OK")</f>
        <v>0</v>
      </c>
      <c r="E9" s="4">
        <f>COUNTIF('Tiers-payants et clients'!$H$6:$H$15,"KO")</f>
        <v>0</v>
      </c>
      <c r="F9" s="4">
        <f>COUNTIF('Tiers-payants et clients'!$H$6:$H$15,"Bloqué")</f>
        <v>0</v>
      </c>
      <c r="G9" s="4">
        <f>C9-COUNTA('Tiers-payants et clients'!$H$6:$H$15)</f>
        <v>10</v>
      </c>
      <c r="H9" s="4" t="str">
        <f>COUNTIF('Tiers-payants et clients'!$G$6:$G$15,"OK")&amp;" / "&amp;COUNTIF('Tiers-payants et clients'!$G$6:$G$15,"KO")</f>
        <v>8 / 0</v>
      </c>
      <c r="I9" s="5">
        <f t="shared" si="0"/>
        <v>0</v>
      </c>
    </row>
    <row r="10" spans="1:9" x14ac:dyDescent="0.25">
      <c r="A10" s="6" t="s">
        <v>21</v>
      </c>
      <c r="B10" s="7" t="s">
        <v>22</v>
      </c>
      <c r="C10" s="8">
        <f>COUNTA('Commandes et PharmaML'!$A$6:$A$16)</f>
        <v>11</v>
      </c>
      <c r="D10" s="8">
        <f>COUNTIF('Commandes et PharmaML'!$H$6:$H$16,"OK")</f>
        <v>0</v>
      </c>
      <c r="E10" s="8">
        <f>COUNTIF('Commandes et PharmaML'!$H$6:$H$16,"KO")</f>
        <v>0</v>
      </c>
      <c r="F10" s="8">
        <f>COUNTIF('Commandes et PharmaML'!$H$6:$H$16,"Bloqué")</f>
        <v>0</v>
      </c>
      <c r="G10" s="8">
        <f>C10-COUNTA('Commandes et PharmaML'!$H$6:$H$16)</f>
        <v>11</v>
      </c>
      <c r="H10" s="8" t="str">
        <f>COUNTIF('Commandes et PharmaML'!$G$6:$G$16,"OK")&amp;" / "&amp;COUNTIF('Commandes et PharmaML'!$G$6:$G$16,"KO")</f>
        <v>8 / 1</v>
      </c>
      <c r="I10" s="9">
        <f t="shared" si="0"/>
        <v>0</v>
      </c>
    </row>
    <row r="11" spans="1:9" x14ac:dyDescent="0.25">
      <c r="A11" s="2" t="s">
        <v>23</v>
      </c>
      <c r="B11" s="3" t="s">
        <v>24</v>
      </c>
      <c r="C11" s="4">
        <f>COUNTA(Stock!$A$6:$A$15)</f>
        <v>10</v>
      </c>
      <c r="D11" s="4">
        <f>COUNTIF(Stock!$H$6:$H$15,"OK")</f>
        <v>0</v>
      </c>
      <c r="E11" s="4">
        <f>COUNTIF(Stock!$H$6:$H$15,"KO")</f>
        <v>0</v>
      </c>
      <c r="F11" s="4">
        <f>COUNTIF(Stock!$H$6:$H$15,"Bloqué")</f>
        <v>0</v>
      </c>
      <c r="G11" s="4">
        <f>C11-COUNTA(Stock!$H$6:$H$15)</f>
        <v>10</v>
      </c>
      <c r="H11" s="4" t="str">
        <f>COUNTIF(Stock!$G$6:$G$15,"OK")&amp;" / "&amp;COUNTIF(Stock!$G$6:$G$15,"KO")</f>
        <v>7 / 0</v>
      </c>
      <c r="I11" s="5">
        <f t="shared" si="0"/>
        <v>0</v>
      </c>
    </row>
    <row r="12" spans="1:9" x14ac:dyDescent="0.25">
      <c r="A12" s="6" t="s">
        <v>25</v>
      </c>
      <c r="B12" s="7" t="s">
        <v>26</v>
      </c>
      <c r="C12" s="8">
        <f>COUNTA(Étiquettes!$A$6:$A$12)</f>
        <v>7</v>
      </c>
      <c r="D12" s="8">
        <f>COUNTIF(Étiquettes!$H$6:$H$12,"OK")</f>
        <v>0</v>
      </c>
      <c r="E12" s="8">
        <f>COUNTIF(Étiquettes!$H$6:$H$12,"KO")</f>
        <v>0</v>
      </c>
      <c r="F12" s="8">
        <f>COUNTIF(Étiquettes!$H$6:$H$12,"Bloqué")</f>
        <v>0</v>
      </c>
      <c r="G12" s="8">
        <f>C12-COUNTA(Étiquettes!$H$6:$H$12)</f>
        <v>7</v>
      </c>
      <c r="H12" s="8" t="str">
        <f>COUNTIF(Étiquettes!$G$6:$G$12,"OK")&amp;" / "&amp;COUNTIF(Étiquettes!$G$6:$G$12,"KO")</f>
        <v>4 / 0</v>
      </c>
      <c r="I12" s="9">
        <f t="shared" si="0"/>
        <v>0</v>
      </c>
    </row>
    <row r="13" spans="1:9" x14ac:dyDescent="0.25">
      <c r="A13" s="2" t="s">
        <v>27</v>
      </c>
      <c r="B13" s="3" t="s">
        <v>28</v>
      </c>
      <c r="C13" s="4">
        <f>COUNTA('Analyse et pilotage'!$A$6:$A$15)</f>
        <v>10</v>
      </c>
      <c r="D13" s="4">
        <f>COUNTIF('Analyse et pilotage'!$H$6:$H$15,"OK")</f>
        <v>0</v>
      </c>
      <c r="E13" s="4">
        <f>COUNTIF('Analyse et pilotage'!$H$6:$H$15,"KO")</f>
        <v>0</v>
      </c>
      <c r="F13" s="4">
        <f>COUNTIF('Analyse et pilotage'!$H$6:$H$15,"Bloqué")</f>
        <v>0</v>
      </c>
      <c r="G13" s="4">
        <f>C13-COUNTA('Analyse et pilotage'!$H$6:$H$15)</f>
        <v>10</v>
      </c>
      <c r="H13" s="4" t="str">
        <f>COUNTIF('Analyse et pilotage'!$G$6:$G$15,"OK")&amp;" / "&amp;COUNTIF('Analyse et pilotage'!$G$6:$G$15,"KO")</f>
        <v>6 / 0</v>
      </c>
      <c r="I13" s="5">
        <f t="shared" si="0"/>
        <v>0</v>
      </c>
    </row>
    <row r="14" spans="1:9" x14ac:dyDescent="0.25">
      <c r="A14" s="6" t="s">
        <v>29</v>
      </c>
      <c r="B14" s="7" t="s">
        <v>30</v>
      </c>
      <c r="C14" s="8">
        <f>COUNTA('Campagnes et avis clients'!$A$6:$A$11)</f>
        <v>6</v>
      </c>
      <c r="D14" s="8">
        <f>COUNTIF('Campagnes et avis clients'!$H$6:$H$11,"OK")</f>
        <v>0</v>
      </c>
      <c r="E14" s="8">
        <f>COUNTIF('Campagnes et avis clients'!$H$6:$H$11,"KO")</f>
        <v>0</v>
      </c>
      <c r="F14" s="8">
        <f>COUNTIF('Campagnes et avis clients'!$H$6:$H$11,"Bloqué")</f>
        <v>0</v>
      </c>
      <c r="G14" s="8">
        <f>C14-COUNTA('Campagnes et avis clients'!$H$6:$H$11)</f>
        <v>6</v>
      </c>
      <c r="H14" s="8" t="str">
        <f>COUNTIF('Campagnes et avis clients'!$G$6:$G$11,"OK")&amp;" / "&amp;COUNTIF('Campagnes et avis clients'!$G$6:$G$11,"KO")</f>
        <v>0 / 0</v>
      </c>
      <c r="I14" s="9">
        <f t="shared" si="0"/>
        <v>0</v>
      </c>
    </row>
    <row r="15" spans="1:9" x14ac:dyDescent="0.25">
      <c r="A15" s="2" t="s">
        <v>31</v>
      </c>
      <c r="B15" s="3" t="s">
        <v>32</v>
      </c>
      <c r="C15" s="4">
        <f>COUNTA('Ressources humaines'!$A$6:$A$12)</f>
        <v>7</v>
      </c>
      <c r="D15" s="4">
        <f>COUNTIF('Ressources humaines'!$H$6:$H$12,"OK")</f>
        <v>0</v>
      </c>
      <c r="E15" s="4">
        <f>COUNTIF('Ressources humaines'!$H$6:$H$12,"KO")</f>
        <v>0</v>
      </c>
      <c r="F15" s="4">
        <f>COUNTIF('Ressources humaines'!$H$6:$H$12,"Bloqué")</f>
        <v>0</v>
      </c>
      <c r="G15" s="4">
        <f>C15-COUNTA('Ressources humaines'!$H$6:$H$12)</f>
        <v>7</v>
      </c>
      <c r="H15" s="4" t="str">
        <f>COUNTIF('Ressources humaines'!$G$6:$G$12,"OK")&amp;" / "&amp;COUNTIF('Ressources humaines'!$G$6:$G$12,"KO")</f>
        <v>0 / 0</v>
      </c>
      <c r="I15" s="5">
        <f t="shared" si="0"/>
        <v>0</v>
      </c>
    </row>
    <row r="16" spans="1:9" x14ac:dyDescent="0.25">
      <c r="A16" s="6" t="s">
        <v>33</v>
      </c>
      <c r="B16" s="7" t="s">
        <v>34</v>
      </c>
      <c r="C16" s="8">
        <f>COUNTA('Support et serveur'!$A$6:$A$11)</f>
        <v>6</v>
      </c>
      <c r="D16" s="8">
        <f>COUNTIF('Support et serveur'!$H$6:$H$11,"OK")</f>
        <v>0</v>
      </c>
      <c r="E16" s="8">
        <f>COUNTIF('Support et serveur'!$H$6:$H$11,"KO")</f>
        <v>0</v>
      </c>
      <c r="F16" s="8">
        <f>COUNTIF('Support et serveur'!$H$6:$H$11,"Bloqué")</f>
        <v>0</v>
      </c>
      <c r="G16" s="8">
        <f>C16-COUNTA('Support et serveur'!$H$6:$H$11)</f>
        <v>6</v>
      </c>
      <c r="H16" s="8" t="str">
        <f>COUNTIF('Support et serveur'!$G$6:$G$11,"OK")&amp;" / "&amp;COUNTIF('Support et serveur'!$G$6:$G$11,"KO")</f>
        <v>2 / 2</v>
      </c>
      <c r="I16" s="9">
        <f t="shared" si="0"/>
        <v>0</v>
      </c>
    </row>
    <row r="17" spans="1:9" x14ac:dyDescent="0.25">
      <c r="A17" s="2" t="s">
        <v>35</v>
      </c>
      <c r="B17" s="3" t="s">
        <v>36</v>
      </c>
      <c r="C17" s="4">
        <f>COUNTA('Performances et charge'!$A$6:$A$11)</f>
        <v>6</v>
      </c>
      <c r="D17" s="4">
        <f>COUNTIF('Performances et charge'!$H$6:$H$11,"OK")</f>
        <v>0</v>
      </c>
      <c r="E17" s="4">
        <f>COUNTIF('Performances et charge'!$H$6:$H$11,"KO")</f>
        <v>0</v>
      </c>
      <c r="F17" s="4">
        <f>COUNTIF('Performances et charge'!$H$6:$H$11,"Bloqué")</f>
        <v>0</v>
      </c>
      <c r="G17" s="4">
        <f>C17-COUNTA('Performances et charge'!$H$6:$H$11)</f>
        <v>6</v>
      </c>
      <c r="H17" s="4" t="str">
        <f>COUNTIF('Performances et charge'!$G$6:$G$11,"OK")&amp;" / "&amp;COUNTIF('Performances et charge'!$G$6:$G$11,"KO")</f>
        <v>1 / 3</v>
      </c>
      <c r="I17" s="5">
        <f t="shared" si="0"/>
        <v>0</v>
      </c>
    </row>
    <row r="18" spans="1:9" x14ac:dyDescent="0.25">
      <c r="A18" s="6" t="s">
        <v>37</v>
      </c>
      <c r="B18" s="7" t="s">
        <v>38</v>
      </c>
      <c r="C18" s="8">
        <f>COUNTA('Éditions et modèles'!$A$6:$A$10)</f>
        <v>5</v>
      </c>
      <c r="D18" s="8">
        <f>COUNTIF('Éditions et modèles'!$H$6:$H$10,"OK")</f>
        <v>0</v>
      </c>
      <c r="E18" s="8">
        <f>COUNTIF('Éditions et modèles'!$H$6:$H$10,"KO")</f>
        <v>0</v>
      </c>
      <c r="F18" s="8">
        <f>COUNTIF('Éditions et modèles'!$H$6:$H$10,"Bloqué")</f>
        <v>0</v>
      </c>
      <c r="G18" s="8">
        <f>C18-COUNTA('Éditions et modèles'!$H$6:$H$10)</f>
        <v>5</v>
      </c>
      <c r="H18" s="8" t="str">
        <f>COUNTIF('Éditions et modèles'!$G$6:$G$10,"OK")&amp;" / "&amp;COUNTIF('Éditions et modèles'!$G$6:$G$10,"KO")</f>
        <v>4 / 0</v>
      </c>
      <c r="I18" s="9">
        <f t="shared" si="0"/>
        <v>0</v>
      </c>
    </row>
    <row r="19" spans="1:9" x14ac:dyDescent="0.25">
      <c r="A19" s="10" t="s">
        <v>39</v>
      </c>
      <c r="B19" s="11"/>
      <c r="C19" s="12">
        <f>SUM(C5:C18)</f>
        <v>124</v>
      </c>
      <c r="D19" s="12">
        <f>SUM(D5:D18)</f>
        <v>0</v>
      </c>
      <c r="E19" s="12">
        <f>SUM(E5:E18)</f>
        <v>0</v>
      </c>
      <c r="F19" s="12">
        <f>SUM(F5:F18)</f>
        <v>0</v>
      </c>
      <c r="G19" s="12">
        <f>SUM(G5:G18)</f>
        <v>124</v>
      </c>
      <c r="H19" s="11"/>
      <c r="I19" s="13">
        <f t="shared" si="0"/>
        <v>0</v>
      </c>
    </row>
  </sheetData>
  <mergeCells count="2">
    <mergeCell ref="A1:I1"/>
    <mergeCell ref="A2:I2"/>
  </mergeCells>
  <hyperlinks>
    <hyperlink ref="A5" location="'Connexion et sécurité'!A1" display="Connexion et sécurité" xr:uid="{00000000-0004-0000-0000-000000000000}"/>
    <hyperlink ref="A6" location="'Ventes'!A1" display="Ventes" xr:uid="{00000000-0004-0000-0000-000001000000}"/>
    <hyperlink ref="A7" location="'Caisse et gestion courante'!A1" display="Caisse et gestion courante" xr:uid="{00000000-0004-0000-0000-000002000000}"/>
    <hyperlink ref="A8" location="'Facturation et différés'!A1" display="Facturation et différés" xr:uid="{00000000-0004-0000-0000-000003000000}"/>
    <hyperlink ref="A9" location="'Tiers-payants et clients'!A1" display="Tiers-payants et clients" xr:uid="{00000000-0004-0000-0000-000004000000}"/>
    <hyperlink ref="A10" location="'Commandes et PharmaML'!A1" display="Commandes et PharmaML" xr:uid="{00000000-0004-0000-0000-000005000000}"/>
    <hyperlink ref="A11" location="'Stock'!A1" display="Stock" xr:uid="{00000000-0004-0000-0000-000006000000}"/>
    <hyperlink ref="A12" location="'Étiquettes'!A1" display="Étiquettes" xr:uid="{00000000-0004-0000-0000-000007000000}"/>
    <hyperlink ref="A13" location="'Analyse et pilotage'!A1" display="Analyse et pilotage" xr:uid="{00000000-0004-0000-0000-000008000000}"/>
    <hyperlink ref="A14" location="'Campagnes et avis clients'!A1" display="Campagnes et avis clients" xr:uid="{00000000-0004-0000-0000-000009000000}"/>
    <hyperlink ref="A15" location="'Ressources humaines'!A1" display="Ressources humaines" xr:uid="{00000000-0004-0000-0000-00000A000000}"/>
    <hyperlink ref="A16" location="'Support et serveur'!A1" display="Support et serveur" xr:uid="{00000000-0004-0000-0000-00000B000000}"/>
    <hyperlink ref="A17" location="'Performances et charge'!A1" display="Performances et charge" xr:uid="{00000000-0004-0000-0000-00000C000000}"/>
    <hyperlink ref="A18" location="'Éditions et modèles'!A1" display="Éditions et modèles" xr:uid="{00000000-0004-0000-0000-00000D000000}"/>
  </hyperlinks>
  <printOptions horizontalCentered="1"/>
  <pageMargins left="0.75" right="0.75" top="1" bottom="1" header="0.5" footer="0.5"/>
  <pageSetup paperSize="9" orientation="landscape"/>
  <headerFooter>
    <oddFooter>&amp;R&amp;7 Cahier de recette · integration/recette-2026-10-29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9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40</v>
      </c>
      <c r="B1" s="27"/>
      <c r="C1" s="27"/>
      <c r="D1" s="27"/>
      <c r="E1" s="27"/>
      <c r="F1" s="29" t="s">
        <v>41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COUNTA($A$6:$A$19)</f>
        <v>14</v>
      </c>
      <c r="C3" s="14" t="s">
        <v>5</v>
      </c>
      <c r="D3" s="15">
        <f>COUNTIF($H$6:$H$19,"OK")</f>
        <v>0</v>
      </c>
      <c r="E3" s="14" t="s">
        <v>6</v>
      </c>
      <c r="F3" s="15">
        <f>COUNTIF($H$6:$H$19,"KO")</f>
        <v>0</v>
      </c>
      <c r="G3" s="14" t="s">
        <v>8</v>
      </c>
      <c r="H3" s="15">
        <f>COUNTA($A$6:$A$19)-COUNTA($H$6:$H$19)</f>
        <v>14</v>
      </c>
      <c r="I3" s="14" t="s">
        <v>43</v>
      </c>
      <c r="J3" s="15" t="str">
        <f>COUNTIF($G$6:$G$19,"OK")&amp;" / "&amp;COUNTIF($G$6:$G$19,"KO")</f>
        <v>2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x14ac:dyDescent="0.25">
      <c r="A6" s="16">
        <v>1</v>
      </c>
      <c r="B6" s="17" t="s">
        <v>55</v>
      </c>
      <c r="C6" s="18" t="s">
        <v>56</v>
      </c>
      <c r="D6" s="17" t="s">
        <v>57</v>
      </c>
      <c r="E6" s="17" t="s">
        <v>58</v>
      </c>
      <c r="F6" s="16" t="s">
        <v>59</v>
      </c>
      <c r="G6" s="16" t="s">
        <v>60</v>
      </c>
      <c r="H6" s="19"/>
      <c r="I6" s="20"/>
      <c r="J6" s="20"/>
    </row>
    <row r="7" spans="1:10" ht="22.5" x14ac:dyDescent="0.25">
      <c r="A7" s="21">
        <v>2</v>
      </c>
      <c r="B7" s="22" t="s">
        <v>55</v>
      </c>
      <c r="C7" s="23" t="s">
        <v>61</v>
      </c>
      <c r="D7" s="22" t="s">
        <v>62</v>
      </c>
      <c r="E7" s="22" t="s">
        <v>63</v>
      </c>
      <c r="F7" s="21" t="s">
        <v>59</v>
      </c>
      <c r="G7" s="21" t="s">
        <v>60</v>
      </c>
      <c r="H7" s="19"/>
      <c r="I7" s="20"/>
      <c r="J7" s="20"/>
    </row>
    <row r="8" spans="1:10" ht="22.5" x14ac:dyDescent="0.25">
      <c r="A8" s="16">
        <v>3</v>
      </c>
      <c r="B8" s="17" t="s">
        <v>55</v>
      </c>
      <c r="C8" s="18" t="s">
        <v>64</v>
      </c>
      <c r="D8" s="17" t="s">
        <v>65</v>
      </c>
      <c r="E8" s="17" t="s">
        <v>66</v>
      </c>
      <c r="F8" s="16" t="s">
        <v>59</v>
      </c>
      <c r="G8" s="16" t="s">
        <v>60</v>
      </c>
      <c r="H8" s="19"/>
      <c r="I8" s="20"/>
      <c r="J8" s="20"/>
    </row>
    <row r="9" spans="1:10" ht="22.5" x14ac:dyDescent="0.25">
      <c r="A9" s="21">
        <v>4</v>
      </c>
      <c r="B9" s="22" t="s">
        <v>55</v>
      </c>
      <c r="C9" s="23" t="s">
        <v>67</v>
      </c>
      <c r="D9" s="22" t="s">
        <v>68</v>
      </c>
      <c r="E9" s="22" t="s">
        <v>69</v>
      </c>
      <c r="F9" s="21" t="s">
        <v>70</v>
      </c>
      <c r="G9" s="21" t="s">
        <v>60</v>
      </c>
      <c r="H9" s="19"/>
      <c r="I9" s="20"/>
      <c r="J9" s="20"/>
    </row>
    <row r="10" spans="1:10" ht="22.5" x14ac:dyDescent="0.25">
      <c r="A10" s="16">
        <v>5</v>
      </c>
      <c r="B10" s="17" t="s">
        <v>55</v>
      </c>
      <c r="C10" s="18" t="s">
        <v>71</v>
      </c>
      <c r="D10" s="17" t="s">
        <v>72</v>
      </c>
      <c r="E10" s="17" t="s">
        <v>73</v>
      </c>
      <c r="F10" s="16" t="s">
        <v>70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74</v>
      </c>
      <c r="C11" s="23" t="s">
        <v>75</v>
      </c>
      <c r="D11" s="22" t="s">
        <v>76</v>
      </c>
      <c r="E11" s="22" t="s">
        <v>77</v>
      </c>
      <c r="F11" s="21" t="s">
        <v>59</v>
      </c>
      <c r="G11" s="21" t="s">
        <v>60</v>
      </c>
      <c r="H11" s="19"/>
      <c r="I11" s="20"/>
      <c r="J11" s="20"/>
    </row>
    <row r="12" spans="1:10" ht="33.75" x14ac:dyDescent="0.25">
      <c r="A12" s="16">
        <v>7</v>
      </c>
      <c r="B12" s="17" t="s">
        <v>78</v>
      </c>
      <c r="C12" s="18" t="s">
        <v>79</v>
      </c>
      <c r="D12" s="17" t="s">
        <v>80</v>
      </c>
      <c r="E12" s="17" t="s">
        <v>81</v>
      </c>
      <c r="F12" s="16" t="s">
        <v>59</v>
      </c>
      <c r="G12" s="16" t="s">
        <v>60</v>
      </c>
      <c r="H12" s="19"/>
      <c r="I12" s="20"/>
      <c r="J12" s="20"/>
    </row>
    <row r="13" spans="1:10" ht="33.75" x14ac:dyDescent="0.25">
      <c r="A13" s="21">
        <v>8</v>
      </c>
      <c r="B13" s="22" t="s">
        <v>78</v>
      </c>
      <c r="C13" s="23" t="s">
        <v>82</v>
      </c>
      <c r="D13" s="22" t="s">
        <v>83</v>
      </c>
      <c r="E13" s="22" t="s">
        <v>84</v>
      </c>
      <c r="F13" s="21" t="s">
        <v>59</v>
      </c>
      <c r="G13" s="21" t="s">
        <v>60</v>
      </c>
      <c r="H13" s="19"/>
      <c r="I13" s="20"/>
      <c r="J13" s="20"/>
    </row>
    <row r="14" spans="1:10" ht="22.5" x14ac:dyDescent="0.25">
      <c r="A14" s="16">
        <v>9</v>
      </c>
      <c r="B14" s="17" t="s">
        <v>78</v>
      </c>
      <c r="C14" s="18" t="s">
        <v>85</v>
      </c>
      <c r="D14" s="17" t="s">
        <v>86</v>
      </c>
      <c r="E14" s="17" t="s">
        <v>87</v>
      </c>
      <c r="F14" s="16" t="s">
        <v>59</v>
      </c>
      <c r="G14" s="24" t="s">
        <v>5</v>
      </c>
      <c r="H14" s="19"/>
      <c r="I14" s="20"/>
      <c r="J14" s="20"/>
    </row>
    <row r="15" spans="1:10" ht="22.5" x14ac:dyDescent="0.25">
      <c r="A15" s="21">
        <v>10</v>
      </c>
      <c r="B15" s="22" t="s">
        <v>88</v>
      </c>
      <c r="C15" s="23" t="s">
        <v>89</v>
      </c>
      <c r="D15" s="22" t="s">
        <v>90</v>
      </c>
      <c r="E15" s="22" t="s">
        <v>91</v>
      </c>
      <c r="F15" s="21" t="s">
        <v>92</v>
      </c>
      <c r="G15" s="21" t="s">
        <v>60</v>
      </c>
      <c r="H15" s="19"/>
      <c r="I15" s="20"/>
      <c r="J15" s="20"/>
    </row>
    <row r="16" spans="1:10" ht="22.5" x14ac:dyDescent="0.25">
      <c r="A16" s="16">
        <v>11</v>
      </c>
      <c r="B16" s="17" t="s">
        <v>93</v>
      </c>
      <c r="C16" s="18" t="s">
        <v>94</v>
      </c>
      <c r="D16" s="17" t="s">
        <v>95</v>
      </c>
      <c r="E16" s="17" t="s">
        <v>96</v>
      </c>
      <c r="F16" s="16" t="s">
        <v>59</v>
      </c>
      <c r="G16" s="16" t="s">
        <v>60</v>
      </c>
      <c r="H16" s="19"/>
      <c r="I16" s="20"/>
      <c r="J16" s="20"/>
    </row>
    <row r="17" spans="1:10" ht="22.5" x14ac:dyDescent="0.25">
      <c r="A17" s="21">
        <v>12</v>
      </c>
      <c r="B17" s="22" t="s">
        <v>97</v>
      </c>
      <c r="C17" s="23" t="s">
        <v>98</v>
      </c>
      <c r="D17" s="22" t="s">
        <v>99</v>
      </c>
      <c r="E17" s="22" t="s">
        <v>100</v>
      </c>
      <c r="F17" s="21" t="s">
        <v>70</v>
      </c>
      <c r="G17" s="25" t="s">
        <v>5</v>
      </c>
      <c r="H17" s="19"/>
      <c r="I17" s="20"/>
      <c r="J17" s="20"/>
    </row>
    <row r="18" spans="1:10" ht="22.5" x14ac:dyDescent="0.25">
      <c r="A18" s="16">
        <v>13</v>
      </c>
      <c r="B18" s="17" t="s">
        <v>97</v>
      </c>
      <c r="C18" s="18" t="s">
        <v>101</v>
      </c>
      <c r="D18" s="17" t="s">
        <v>102</v>
      </c>
      <c r="E18" s="17" t="s">
        <v>103</v>
      </c>
      <c r="F18" s="16" t="s">
        <v>92</v>
      </c>
      <c r="G18" s="16" t="s">
        <v>60</v>
      </c>
      <c r="H18" s="19"/>
      <c r="I18" s="20"/>
      <c r="J18" s="20"/>
    </row>
    <row r="19" spans="1:10" ht="22.5" x14ac:dyDescent="0.25">
      <c r="A19" s="21">
        <v>14</v>
      </c>
      <c r="B19" s="22" t="s">
        <v>104</v>
      </c>
      <c r="C19" s="23" t="s">
        <v>105</v>
      </c>
      <c r="D19" s="22" t="s">
        <v>106</v>
      </c>
      <c r="E19" s="22" t="s">
        <v>107</v>
      </c>
      <c r="F19" s="21" t="s">
        <v>70</v>
      </c>
      <c r="G19" s="21" t="s">
        <v>60</v>
      </c>
      <c r="H19" s="19"/>
      <c r="I19" s="20"/>
      <c r="J19" s="20"/>
    </row>
  </sheetData>
  <mergeCells count="4">
    <mergeCell ref="F1:J1"/>
    <mergeCell ref="A1:E1"/>
    <mergeCell ref="A4:J4"/>
    <mergeCell ref="A2:J2"/>
  </mergeCells>
  <conditionalFormatting sqref="G6:H19">
    <cfRule type="cellIs" dxfId="41" priority="1" operator="equal">
      <formula>"OK"</formula>
    </cfRule>
    <cfRule type="cellIs" dxfId="40" priority="2" operator="equal">
      <formula>"KO"</formula>
    </cfRule>
    <cfRule type="cellIs" dxfId="39" priority="3" operator="equal">
      <formula>"Bloqué"</formula>
    </cfRule>
  </conditionalFormatting>
  <dataValidations count="1">
    <dataValidation type="list" allowBlank="1" sqref="H6:H19" xr:uid="{00000000-0002-0000-01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108</v>
      </c>
      <c r="B1" s="27"/>
      <c r="C1" s="27"/>
      <c r="D1" s="27"/>
      <c r="E1" s="27"/>
      <c r="F1" s="29" t="s">
        <v>109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COUNTA($A$6:$A$20)</f>
        <v>15</v>
      </c>
      <c r="C3" s="14" t="s">
        <v>5</v>
      </c>
      <c r="D3" s="15">
        <f>COUNTIF($H$6:$H$20,"OK")</f>
        <v>0</v>
      </c>
      <c r="E3" s="14" t="s">
        <v>6</v>
      </c>
      <c r="F3" s="15">
        <f>COUNTIF($H$6:$H$20,"KO")</f>
        <v>0</v>
      </c>
      <c r="G3" s="14" t="s">
        <v>8</v>
      </c>
      <c r="H3" s="15">
        <f>COUNTA($A$6:$A$20)-COUNTA($H$6:$H$20)</f>
        <v>15</v>
      </c>
      <c r="I3" s="14" t="s">
        <v>43</v>
      </c>
      <c r="J3" s="15" t="str">
        <f>COUNTIF($G$6:$G$20,"OK")&amp;" / "&amp;COUNTIF($G$6:$G$20,"KO")</f>
        <v>10 / 2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13</v>
      </c>
      <c r="C6" s="18" t="s">
        <v>110</v>
      </c>
      <c r="D6" s="17" t="s">
        <v>111</v>
      </c>
      <c r="E6" s="17" t="s">
        <v>112</v>
      </c>
      <c r="F6" s="16" t="s">
        <v>59</v>
      </c>
      <c r="G6" s="24" t="s">
        <v>6</v>
      </c>
      <c r="H6" s="19"/>
      <c r="I6" s="20"/>
      <c r="J6" s="20" t="s">
        <v>113</v>
      </c>
    </row>
    <row r="7" spans="1:10" ht="22.5" x14ac:dyDescent="0.25">
      <c r="A7" s="21">
        <v>2</v>
      </c>
      <c r="B7" s="22" t="s">
        <v>13</v>
      </c>
      <c r="C7" s="23" t="s">
        <v>114</v>
      </c>
      <c r="D7" s="22" t="s">
        <v>115</v>
      </c>
      <c r="E7" s="22" t="s">
        <v>116</v>
      </c>
      <c r="F7" s="21" t="s">
        <v>59</v>
      </c>
      <c r="G7" s="25" t="s">
        <v>6</v>
      </c>
      <c r="H7" s="19"/>
      <c r="I7" s="20"/>
      <c r="J7" s="20" t="s">
        <v>117</v>
      </c>
    </row>
    <row r="8" spans="1:10" ht="22.5" x14ac:dyDescent="0.25">
      <c r="A8" s="16">
        <v>3</v>
      </c>
      <c r="B8" s="17" t="s">
        <v>13</v>
      </c>
      <c r="C8" s="18" t="s">
        <v>118</v>
      </c>
      <c r="D8" s="17" t="s">
        <v>119</v>
      </c>
      <c r="E8" s="17" t="s">
        <v>120</v>
      </c>
      <c r="F8" s="16" t="s">
        <v>92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13</v>
      </c>
      <c r="C9" s="23" t="s">
        <v>121</v>
      </c>
      <c r="D9" s="22" t="s">
        <v>122</v>
      </c>
      <c r="E9" s="22" t="s">
        <v>123</v>
      </c>
      <c r="F9" s="21" t="s">
        <v>92</v>
      </c>
      <c r="G9" s="25" t="s">
        <v>5</v>
      </c>
      <c r="H9" s="19"/>
      <c r="I9" s="20"/>
      <c r="J9" s="20"/>
    </row>
    <row r="10" spans="1:10" ht="22.5" x14ac:dyDescent="0.25">
      <c r="A10" s="16">
        <v>5</v>
      </c>
      <c r="B10" s="17" t="s">
        <v>13</v>
      </c>
      <c r="C10" s="18" t="s">
        <v>124</v>
      </c>
      <c r="D10" s="17" t="s">
        <v>125</v>
      </c>
      <c r="E10" s="17" t="s">
        <v>126</v>
      </c>
      <c r="F10" s="16" t="s">
        <v>70</v>
      </c>
      <c r="G10" s="24" t="s">
        <v>5</v>
      </c>
      <c r="H10" s="19"/>
      <c r="I10" s="20"/>
      <c r="J10" s="20"/>
    </row>
    <row r="11" spans="1:10" ht="22.5" x14ac:dyDescent="0.25">
      <c r="A11" s="21">
        <v>6</v>
      </c>
      <c r="B11" s="22" t="s">
        <v>13</v>
      </c>
      <c r="C11" s="23" t="s">
        <v>127</v>
      </c>
      <c r="D11" s="22" t="s">
        <v>128</v>
      </c>
      <c r="E11" s="22" t="s">
        <v>129</v>
      </c>
      <c r="F11" s="21" t="s">
        <v>92</v>
      </c>
      <c r="G11" s="25" t="s">
        <v>5</v>
      </c>
      <c r="H11" s="19"/>
      <c r="I11" s="20"/>
      <c r="J11" s="20"/>
    </row>
    <row r="12" spans="1:10" ht="22.5" x14ac:dyDescent="0.25">
      <c r="A12" s="16">
        <v>7</v>
      </c>
      <c r="B12" s="17" t="s">
        <v>13</v>
      </c>
      <c r="C12" s="18" t="s">
        <v>130</v>
      </c>
      <c r="D12" s="17" t="s">
        <v>131</v>
      </c>
      <c r="E12" s="17" t="s">
        <v>132</v>
      </c>
      <c r="F12" s="16" t="s">
        <v>70</v>
      </c>
      <c r="G12" s="24" t="s">
        <v>5</v>
      </c>
      <c r="H12" s="19"/>
      <c r="I12" s="20"/>
      <c r="J12" s="20"/>
    </row>
    <row r="13" spans="1:10" ht="22.5" x14ac:dyDescent="0.25">
      <c r="A13" s="21">
        <v>8</v>
      </c>
      <c r="B13" s="22" t="s">
        <v>13</v>
      </c>
      <c r="C13" s="23" t="s">
        <v>133</v>
      </c>
      <c r="D13" s="22" t="s">
        <v>134</v>
      </c>
      <c r="E13" s="22" t="s">
        <v>135</v>
      </c>
      <c r="F13" s="21" t="s">
        <v>92</v>
      </c>
      <c r="G13" s="21" t="s">
        <v>60</v>
      </c>
      <c r="H13" s="19"/>
      <c r="I13" s="20"/>
      <c r="J13" s="20"/>
    </row>
    <row r="14" spans="1:10" ht="22.5" x14ac:dyDescent="0.25">
      <c r="A14" s="16">
        <v>9</v>
      </c>
      <c r="B14" s="17" t="s">
        <v>13</v>
      </c>
      <c r="C14" s="18" t="s">
        <v>136</v>
      </c>
      <c r="D14" s="17" t="s">
        <v>137</v>
      </c>
      <c r="E14" s="17" t="s">
        <v>138</v>
      </c>
      <c r="F14" s="16" t="s">
        <v>92</v>
      </c>
      <c r="G14" s="16" t="s">
        <v>60</v>
      </c>
      <c r="H14" s="19"/>
      <c r="I14" s="20"/>
      <c r="J14" s="20"/>
    </row>
    <row r="15" spans="1:10" ht="22.5" x14ac:dyDescent="0.25">
      <c r="A15" s="21">
        <v>10</v>
      </c>
      <c r="B15" s="22" t="s">
        <v>139</v>
      </c>
      <c r="C15" s="23" t="s">
        <v>140</v>
      </c>
      <c r="D15" s="22" t="s">
        <v>141</v>
      </c>
      <c r="E15" s="22" t="s">
        <v>142</v>
      </c>
      <c r="F15" s="21" t="s">
        <v>59</v>
      </c>
      <c r="G15" s="25" t="s">
        <v>5</v>
      </c>
      <c r="H15" s="19"/>
      <c r="I15" s="20"/>
      <c r="J15" s="20"/>
    </row>
    <row r="16" spans="1:10" ht="22.5" x14ac:dyDescent="0.25">
      <c r="A16" s="16">
        <v>11</v>
      </c>
      <c r="B16" s="17" t="s">
        <v>139</v>
      </c>
      <c r="C16" s="18" t="s">
        <v>143</v>
      </c>
      <c r="D16" s="17" t="s">
        <v>144</v>
      </c>
      <c r="E16" s="17" t="s">
        <v>145</v>
      </c>
      <c r="F16" s="16" t="s">
        <v>59</v>
      </c>
      <c r="G16" s="24" t="s">
        <v>5</v>
      </c>
      <c r="H16" s="19"/>
      <c r="I16" s="20"/>
      <c r="J16" s="20"/>
    </row>
    <row r="17" spans="1:10" ht="22.5" x14ac:dyDescent="0.25">
      <c r="A17" s="21">
        <v>12</v>
      </c>
      <c r="B17" s="22" t="s">
        <v>139</v>
      </c>
      <c r="C17" s="23" t="s">
        <v>146</v>
      </c>
      <c r="D17" s="22" t="s">
        <v>147</v>
      </c>
      <c r="E17" s="22" t="s">
        <v>148</v>
      </c>
      <c r="F17" s="21" t="s">
        <v>70</v>
      </c>
      <c r="G17" s="25" t="s">
        <v>5</v>
      </c>
      <c r="H17" s="19"/>
      <c r="I17" s="20"/>
      <c r="J17" s="20"/>
    </row>
    <row r="18" spans="1:10" ht="22.5" x14ac:dyDescent="0.25">
      <c r="A18" s="16">
        <v>13</v>
      </c>
      <c r="B18" s="17" t="s">
        <v>149</v>
      </c>
      <c r="C18" s="18" t="s">
        <v>150</v>
      </c>
      <c r="D18" s="17" t="s">
        <v>151</v>
      </c>
      <c r="E18" s="17" t="s">
        <v>152</v>
      </c>
      <c r="F18" s="16" t="s">
        <v>92</v>
      </c>
      <c r="G18" s="16" t="s">
        <v>60</v>
      </c>
      <c r="H18" s="19"/>
      <c r="I18" s="20"/>
      <c r="J18" s="20"/>
    </row>
    <row r="19" spans="1:10" ht="22.5" x14ac:dyDescent="0.25">
      <c r="A19" s="21">
        <v>14</v>
      </c>
      <c r="B19" s="22" t="s">
        <v>153</v>
      </c>
      <c r="C19" s="23" t="s">
        <v>154</v>
      </c>
      <c r="D19" s="22" t="s">
        <v>155</v>
      </c>
      <c r="E19" s="22" t="s">
        <v>156</v>
      </c>
      <c r="F19" s="21" t="s">
        <v>92</v>
      </c>
      <c r="G19" s="25" t="s">
        <v>5</v>
      </c>
      <c r="H19" s="19"/>
      <c r="I19" s="20"/>
      <c r="J19" s="20"/>
    </row>
    <row r="20" spans="1:10" x14ac:dyDescent="0.25">
      <c r="A20" s="16">
        <v>15</v>
      </c>
      <c r="B20" s="17" t="s">
        <v>157</v>
      </c>
      <c r="C20" s="18" t="s">
        <v>157</v>
      </c>
      <c r="D20" s="17" t="s">
        <v>158</v>
      </c>
      <c r="E20" s="17" t="s">
        <v>159</v>
      </c>
      <c r="F20" s="16" t="s">
        <v>70</v>
      </c>
      <c r="G20" s="24" t="s">
        <v>5</v>
      </c>
      <c r="H20" s="19"/>
      <c r="I20" s="20"/>
      <c r="J20" s="20"/>
    </row>
  </sheetData>
  <mergeCells count="4">
    <mergeCell ref="F1:J1"/>
    <mergeCell ref="A1:E1"/>
    <mergeCell ref="A4:J4"/>
    <mergeCell ref="A2:J2"/>
  </mergeCells>
  <conditionalFormatting sqref="G6:H20">
    <cfRule type="cellIs" dxfId="38" priority="1" operator="equal">
      <formula>"OK"</formula>
    </cfRule>
    <cfRule type="cellIs" dxfId="37" priority="2" operator="equal">
      <formula>"KO"</formula>
    </cfRule>
    <cfRule type="cellIs" dxfId="36" priority="3" operator="equal">
      <formula>"Bloqué"</formula>
    </cfRule>
  </conditionalFormatting>
  <dataValidations count="1">
    <dataValidation type="list" allowBlank="1" sqref="H6:H20" xr:uid="{00000000-0002-0000-02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3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160</v>
      </c>
      <c r="B1" s="27"/>
      <c r="C1" s="27"/>
      <c r="D1" s="27"/>
      <c r="E1" s="27"/>
      <c r="F1" s="29" t="s">
        <v>161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COUNTA($A$6:$A$13)</f>
        <v>8</v>
      </c>
      <c r="C3" s="14" t="s">
        <v>5</v>
      </c>
      <c r="D3" s="15">
        <f>COUNTIF($H$6:$H$13,"OK")</f>
        <v>0</v>
      </c>
      <c r="E3" s="14" t="s">
        <v>6</v>
      </c>
      <c r="F3" s="15">
        <f>COUNTIF($H$6:$H$13,"KO")</f>
        <v>0</v>
      </c>
      <c r="G3" s="14" t="s">
        <v>8</v>
      </c>
      <c r="H3" s="15">
        <f>COUNTA($A$6:$A$13)-COUNTA($H$6:$H$13)</f>
        <v>8</v>
      </c>
      <c r="I3" s="14" t="s">
        <v>43</v>
      </c>
      <c r="J3" s="15" t="str">
        <f>COUNTIF($G$6:$G$13,"OK")&amp;" / "&amp;COUNTIF($G$6:$G$13,"KO")</f>
        <v>2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33.75" x14ac:dyDescent="0.25">
      <c r="A6" s="16">
        <v>1</v>
      </c>
      <c r="B6" s="17" t="s">
        <v>162</v>
      </c>
      <c r="C6" s="18" t="s">
        <v>163</v>
      </c>
      <c r="D6" s="17" t="s">
        <v>164</v>
      </c>
      <c r="E6" s="17" t="s">
        <v>165</v>
      </c>
      <c r="F6" s="16" t="s">
        <v>59</v>
      </c>
      <c r="G6" s="16" t="s">
        <v>60</v>
      </c>
      <c r="H6" s="19"/>
      <c r="I6" s="20"/>
      <c r="J6" s="20"/>
    </row>
    <row r="7" spans="1:10" ht="22.5" x14ac:dyDescent="0.25">
      <c r="A7" s="21">
        <v>2</v>
      </c>
      <c r="B7" s="22" t="s">
        <v>166</v>
      </c>
      <c r="C7" s="23" t="s">
        <v>167</v>
      </c>
      <c r="D7" s="22" t="s">
        <v>168</v>
      </c>
      <c r="E7" s="22" t="s">
        <v>169</v>
      </c>
      <c r="F7" s="21" t="s">
        <v>70</v>
      </c>
      <c r="G7" s="21" t="s">
        <v>60</v>
      </c>
      <c r="H7" s="19"/>
      <c r="I7" s="20"/>
      <c r="J7" s="20"/>
    </row>
    <row r="8" spans="1:10" x14ac:dyDescent="0.25">
      <c r="A8" s="16">
        <v>3</v>
      </c>
      <c r="B8" s="17" t="s">
        <v>166</v>
      </c>
      <c r="C8" s="18" t="s">
        <v>170</v>
      </c>
      <c r="D8" s="17" t="s">
        <v>171</v>
      </c>
      <c r="E8" s="17" t="s">
        <v>172</v>
      </c>
      <c r="F8" s="16" t="s">
        <v>70</v>
      </c>
      <c r="G8" s="16" t="s">
        <v>60</v>
      </c>
      <c r="H8" s="19"/>
      <c r="I8" s="20"/>
      <c r="J8" s="20"/>
    </row>
    <row r="9" spans="1:10" ht="22.5" x14ac:dyDescent="0.25">
      <c r="A9" s="21">
        <v>4</v>
      </c>
      <c r="B9" s="22" t="s">
        <v>173</v>
      </c>
      <c r="C9" s="23" t="s">
        <v>173</v>
      </c>
      <c r="D9" s="22" t="s">
        <v>174</v>
      </c>
      <c r="E9" s="22" t="s">
        <v>175</v>
      </c>
      <c r="F9" s="21" t="s">
        <v>59</v>
      </c>
      <c r="G9" s="21" t="s">
        <v>60</v>
      </c>
      <c r="H9" s="19"/>
      <c r="I9" s="20"/>
      <c r="J9" s="20"/>
    </row>
    <row r="10" spans="1:10" ht="22.5" x14ac:dyDescent="0.25">
      <c r="A10" s="16">
        <v>5</v>
      </c>
      <c r="B10" s="17" t="s">
        <v>176</v>
      </c>
      <c r="C10" s="18" t="s">
        <v>177</v>
      </c>
      <c r="D10" s="17" t="s">
        <v>178</v>
      </c>
      <c r="E10" s="17" t="s">
        <v>179</v>
      </c>
      <c r="F10" s="16" t="s">
        <v>92</v>
      </c>
      <c r="G10" s="24" t="s">
        <v>5</v>
      </c>
      <c r="H10" s="19"/>
      <c r="I10" s="20"/>
      <c r="J10" s="20"/>
    </row>
    <row r="11" spans="1:10" x14ac:dyDescent="0.25">
      <c r="A11" s="21">
        <v>6</v>
      </c>
      <c r="B11" s="22" t="s">
        <v>180</v>
      </c>
      <c r="C11" s="23" t="s">
        <v>181</v>
      </c>
      <c r="D11" s="22" t="s">
        <v>182</v>
      </c>
      <c r="E11" s="22" t="s">
        <v>183</v>
      </c>
      <c r="F11" s="21" t="s">
        <v>70</v>
      </c>
      <c r="G11" s="21" t="s">
        <v>60</v>
      </c>
      <c r="H11" s="19"/>
      <c r="I11" s="20"/>
      <c r="J11" s="20"/>
    </row>
    <row r="12" spans="1:10" ht="22.5" x14ac:dyDescent="0.25">
      <c r="A12" s="16">
        <v>7</v>
      </c>
      <c r="B12" s="17" t="s">
        <v>184</v>
      </c>
      <c r="C12" s="18" t="s">
        <v>185</v>
      </c>
      <c r="D12" s="17" t="s">
        <v>186</v>
      </c>
      <c r="E12" s="17" t="s">
        <v>187</v>
      </c>
      <c r="F12" s="16" t="s">
        <v>92</v>
      </c>
      <c r="G12" s="16" t="s">
        <v>60</v>
      </c>
      <c r="H12" s="19"/>
      <c r="I12" s="20"/>
      <c r="J12" s="20"/>
    </row>
    <row r="13" spans="1:10" ht="22.5" x14ac:dyDescent="0.25">
      <c r="A13" s="21">
        <v>8</v>
      </c>
      <c r="B13" s="22" t="s">
        <v>188</v>
      </c>
      <c r="C13" s="23" t="s">
        <v>189</v>
      </c>
      <c r="D13" s="22" t="s">
        <v>190</v>
      </c>
      <c r="E13" s="22" t="s">
        <v>191</v>
      </c>
      <c r="F13" s="21" t="s">
        <v>70</v>
      </c>
      <c r="G13" s="25" t="s">
        <v>5</v>
      </c>
      <c r="H13" s="19"/>
      <c r="I13" s="20"/>
      <c r="J13" s="20"/>
    </row>
  </sheetData>
  <mergeCells count="4">
    <mergeCell ref="F1:J1"/>
    <mergeCell ref="A1:E1"/>
    <mergeCell ref="A4:J4"/>
    <mergeCell ref="A2:J2"/>
  </mergeCells>
  <conditionalFormatting sqref="G6:H13">
    <cfRule type="cellIs" dxfId="35" priority="1" operator="equal">
      <formula>"OK"</formula>
    </cfRule>
    <cfRule type="cellIs" dxfId="34" priority="2" operator="equal">
      <formula>"KO"</formula>
    </cfRule>
    <cfRule type="cellIs" dxfId="33" priority="3" operator="equal">
      <formula>"Bloqué"</formula>
    </cfRule>
  </conditionalFormatting>
  <dataValidations count="1">
    <dataValidation type="list" allowBlank="1" sqref="H6:H13" xr:uid="{00000000-0002-0000-03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4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192</v>
      </c>
      <c r="B1" s="27"/>
      <c r="C1" s="27"/>
      <c r="D1" s="27"/>
      <c r="E1" s="27"/>
      <c r="F1" s="29" t="s">
        <v>193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COUNTA($A$6:$A$14)</f>
        <v>9</v>
      </c>
      <c r="C3" s="14" t="s">
        <v>5</v>
      </c>
      <c r="D3" s="15">
        <f>COUNTIF($H$6:$H$14,"OK")</f>
        <v>0</v>
      </c>
      <c r="E3" s="14" t="s">
        <v>6</v>
      </c>
      <c r="F3" s="15">
        <f>COUNTIF($H$6:$H$14,"KO")</f>
        <v>0</v>
      </c>
      <c r="G3" s="14" t="s">
        <v>8</v>
      </c>
      <c r="H3" s="15">
        <f>COUNTA($A$6:$A$14)-COUNTA($H$6:$H$14)</f>
        <v>9</v>
      </c>
      <c r="I3" s="14" t="s">
        <v>43</v>
      </c>
      <c r="J3" s="15" t="str">
        <f>COUNTIF($G$6:$G$14,"OK")&amp;" / "&amp;COUNTIF($G$6:$G$14,"KO")</f>
        <v>8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194</v>
      </c>
      <c r="C6" s="18" t="s">
        <v>195</v>
      </c>
      <c r="D6" s="17" t="s">
        <v>196</v>
      </c>
      <c r="E6" s="17" t="s">
        <v>197</v>
      </c>
      <c r="F6" s="16" t="s">
        <v>59</v>
      </c>
      <c r="G6" s="24" t="s">
        <v>5</v>
      </c>
      <c r="H6" s="19"/>
      <c r="I6" s="20"/>
      <c r="J6" s="20"/>
    </row>
    <row r="7" spans="1:10" x14ac:dyDescent="0.25">
      <c r="A7" s="21">
        <v>2</v>
      </c>
      <c r="B7" s="22" t="s">
        <v>194</v>
      </c>
      <c r="C7" s="23" t="s">
        <v>198</v>
      </c>
      <c r="D7" s="22" t="s">
        <v>199</v>
      </c>
      <c r="E7" s="22" t="s">
        <v>200</v>
      </c>
      <c r="F7" s="21" t="s">
        <v>59</v>
      </c>
      <c r="G7" s="25" t="s">
        <v>5</v>
      </c>
      <c r="H7" s="19"/>
      <c r="I7" s="20"/>
      <c r="J7" s="20"/>
    </row>
    <row r="8" spans="1:10" ht="22.5" x14ac:dyDescent="0.25">
      <c r="A8" s="16">
        <v>3</v>
      </c>
      <c r="B8" s="17" t="s">
        <v>194</v>
      </c>
      <c r="C8" s="18" t="s">
        <v>201</v>
      </c>
      <c r="D8" s="17" t="s">
        <v>202</v>
      </c>
      <c r="E8" s="17" t="s">
        <v>203</v>
      </c>
      <c r="F8" s="16" t="s">
        <v>92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204</v>
      </c>
      <c r="C9" s="23" t="s">
        <v>205</v>
      </c>
      <c r="D9" s="22" t="s">
        <v>206</v>
      </c>
      <c r="E9" s="22" t="s">
        <v>207</v>
      </c>
      <c r="F9" s="21" t="s">
        <v>59</v>
      </c>
      <c r="G9" s="25" t="s">
        <v>5</v>
      </c>
      <c r="H9" s="19"/>
      <c r="I9" s="20"/>
      <c r="J9" s="20"/>
    </row>
    <row r="10" spans="1:10" ht="22.5" x14ac:dyDescent="0.25">
      <c r="A10" s="16">
        <v>5</v>
      </c>
      <c r="B10" s="17" t="s">
        <v>204</v>
      </c>
      <c r="C10" s="18" t="s">
        <v>208</v>
      </c>
      <c r="D10" s="17" t="s">
        <v>209</v>
      </c>
      <c r="E10" s="17" t="s">
        <v>210</v>
      </c>
      <c r="F10" s="16" t="s">
        <v>70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204</v>
      </c>
      <c r="C11" s="23" t="s">
        <v>211</v>
      </c>
      <c r="D11" s="22" t="s">
        <v>212</v>
      </c>
      <c r="E11" s="22" t="s">
        <v>213</v>
      </c>
      <c r="F11" s="21" t="s">
        <v>70</v>
      </c>
      <c r="G11" s="25" t="s">
        <v>5</v>
      </c>
      <c r="H11" s="19"/>
      <c r="I11" s="20"/>
      <c r="J11" s="20"/>
    </row>
    <row r="12" spans="1:10" ht="22.5" x14ac:dyDescent="0.25">
      <c r="A12" s="16">
        <v>7</v>
      </c>
      <c r="B12" s="17" t="s">
        <v>214</v>
      </c>
      <c r="C12" s="18" t="s">
        <v>215</v>
      </c>
      <c r="D12" s="17" t="s">
        <v>216</v>
      </c>
      <c r="E12" s="17" t="s">
        <v>217</v>
      </c>
      <c r="F12" s="16" t="s">
        <v>92</v>
      </c>
      <c r="G12" s="24" t="s">
        <v>5</v>
      </c>
      <c r="H12" s="19"/>
      <c r="I12" s="20"/>
      <c r="J12" s="20"/>
    </row>
    <row r="13" spans="1:10" ht="22.5" x14ac:dyDescent="0.25">
      <c r="A13" s="21">
        <v>8</v>
      </c>
      <c r="B13" s="22" t="s">
        <v>218</v>
      </c>
      <c r="C13" s="23" t="s">
        <v>219</v>
      </c>
      <c r="D13" s="22" t="s">
        <v>220</v>
      </c>
      <c r="E13" s="22" t="s">
        <v>221</v>
      </c>
      <c r="F13" s="21" t="s">
        <v>92</v>
      </c>
      <c r="G13" s="25" t="s">
        <v>5</v>
      </c>
      <c r="H13" s="19"/>
      <c r="I13" s="20"/>
      <c r="J13" s="20"/>
    </row>
    <row r="14" spans="1:10" x14ac:dyDescent="0.25">
      <c r="A14" s="16">
        <v>9</v>
      </c>
      <c r="B14" s="17" t="s">
        <v>222</v>
      </c>
      <c r="C14" s="18" t="s">
        <v>223</v>
      </c>
      <c r="D14" s="17" t="s">
        <v>224</v>
      </c>
      <c r="E14" s="17" t="s">
        <v>225</v>
      </c>
      <c r="F14" s="16" t="s">
        <v>70</v>
      </c>
      <c r="G14" s="24" t="s">
        <v>5</v>
      </c>
      <c r="H14" s="19"/>
      <c r="I14" s="20"/>
      <c r="J14" s="20"/>
    </row>
  </sheetData>
  <mergeCells count="4">
    <mergeCell ref="F1:J1"/>
    <mergeCell ref="A1:E1"/>
    <mergeCell ref="A4:J4"/>
    <mergeCell ref="A2:J2"/>
  </mergeCells>
  <conditionalFormatting sqref="G6:H14">
    <cfRule type="cellIs" dxfId="32" priority="1" operator="equal">
      <formula>"OK"</formula>
    </cfRule>
    <cfRule type="cellIs" dxfId="31" priority="2" operator="equal">
      <formula>"KO"</formula>
    </cfRule>
    <cfRule type="cellIs" dxfId="30" priority="3" operator="equal">
      <formula>"Bloqué"</formula>
    </cfRule>
  </conditionalFormatting>
  <dataValidations count="1">
    <dataValidation type="list" allowBlank="1" sqref="H6:H14" xr:uid="{00000000-0002-0000-04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5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226</v>
      </c>
      <c r="B1" s="27"/>
      <c r="C1" s="27"/>
      <c r="D1" s="27"/>
      <c r="E1" s="27"/>
      <c r="F1" s="29" t="s">
        <v>227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COUNTA($A$6:$A$15)</f>
        <v>10</v>
      </c>
      <c r="C3" s="14" t="s">
        <v>5</v>
      </c>
      <c r="D3" s="15">
        <f>COUNTIF($H$6:$H$15,"OK")</f>
        <v>0</v>
      </c>
      <c r="E3" s="14" t="s">
        <v>6</v>
      </c>
      <c r="F3" s="15">
        <f>COUNTIF($H$6:$H$15,"KO")</f>
        <v>0</v>
      </c>
      <c r="G3" s="14" t="s">
        <v>8</v>
      </c>
      <c r="H3" s="15">
        <f>COUNTA($A$6:$A$15)-COUNTA($H$6:$H$15)</f>
        <v>10</v>
      </c>
      <c r="I3" s="14" t="s">
        <v>43</v>
      </c>
      <c r="J3" s="15" t="str">
        <f>COUNTIF($G$6:$G$15,"OK")&amp;" / "&amp;COUNTIF($G$6:$G$15,"KO")</f>
        <v>8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228</v>
      </c>
      <c r="C6" s="18" t="s">
        <v>229</v>
      </c>
      <c r="D6" s="17" t="s">
        <v>230</v>
      </c>
      <c r="E6" s="17" t="s">
        <v>231</v>
      </c>
      <c r="F6" s="16" t="s">
        <v>59</v>
      </c>
      <c r="G6" s="24" t="s">
        <v>5</v>
      </c>
      <c r="H6" s="19"/>
      <c r="I6" s="20"/>
      <c r="J6" s="20"/>
    </row>
    <row r="7" spans="1:10" ht="22.5" x14ac:dyDescent="0.25">
      <c r="A7" s="21">
        <v>2</v>
      </c>
      <c r="B7" s="22" t="s">
        <v>228</v>
      </c>
      <c r="C7" s="23" t="s">
        <v>232</v>
      </c>
      <c r="D7" s="22" t="s">
        <v>233</v>
      </c>
      <c r="E7" s="22" t="s">
        <v>234</v>
      </c>
      <c r="F7" s="21" t="s">
        <v>59</v>
      </c>
      <c r="G7" s="25" t="s">
        <v>5</v>
      </c>
      <c r="H7" s="19"/>
      <c r="I7" s="20"/>
      <c r="J7" s="20"/>
    </row>
    <row r="8" spans="1:10" ht="22.5" x14ac:dyDescent="0.25">
      <c r="A8" s="16">
        <v>3</v>
      </c>
      <c r="B8" s="17" t="s">
        <v>235</v>
      </c>
      <c r="C8" s="18" t="s">
        <v>236</v>
      </c>
      <c r="D8" s="17" t="s">
        <v>237</v>
      </c>
      <c r="E8" s="17" t="s">
        <v>238</v>
      </c>
      <c r="F8" s="16" t="s">
        <v>59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239</v>
      </c>
      <c r="C9" s="23" t="s">
        <v>240</v>
      </c>
      <c r="D9" s="22" t="s">
        <v>241</v>
      </c>
      <c r="E9" s="22" t="s">
        <v>242</v>
      </c>
      <c r="F9" s="21" t="s">
        <v>92</v>
      </c>
      <c r="G9" s="25" t="s">
        <v>5</v>
      </c>
      <c r="H9" s="19"/>
      <c r="I9" s="20"/>
      <c r="J9" s="20"/>
    </row>
    <row r="10" spans="1:10" ht="22.5" x14ac:dyDescent="0.25">
      <c r="A10" s="16">
        <v>5</v>
      </c>
      <c r="B10" s="17" t="s">
        <v>243</v>
      </c>
      <c r="C10" s="18" t="s">
        <v>244</v>
      </c>
      <c r="D10" s="17" t="s">
        <v>245</v>
      </c>
      <c r="E10" s="17" t="s">
        <v>246</v>
      </c>
      <c r="F10" s="16" t="s">
        <v>92</v>
      </c>
      <c r="G10" s="24" t="s">
        <v>5</v>
      </c>
      <c r="H10" s="19"/>
      <c r="I10" s="20"/>
      <c r="J10" s="20"/>
    </row>
    <row r="11" spans="1:10" ht="22.5" x14ac:dyDescent="0.25">
      <c r="A11" s="21">
        <v>6</v>
      </c>
      <c r="B11" s="22" t="s">
        <v>243</v>
      </c>
      <c r="C11" s="23" t="s">
        <v>247</v>
      </c>
      <c r="D11" s="22" t="s">
        <v>248</v>
      </c>
      <c r="E11" s="22" t="s">
        <v>249</v>
      </c>
      <c r="F11" s="21" t="s">
        <v>70</v>
      </c>
      <c r="G11" s="21" t="s">
        <v>60</v>
      </c>
      <c r="H11" s="19"/>
      <c r="I11" s="20"/>
      <c r="J11" s="20"/>
    </row>
    <row r="12" spans="1:10" ht="22.5" x14ac:dyDescent="0.25">
      <c r="A12" s="16">
        <v>7</v>
      </c>
      <c r="B12" s="17" t="s">
        <v>250</v>
      </c>
      <c r="C12" s="18" t="s">
        <v>251</v>
      </c>
      <c r="D12" s="17" t="s">
        <v>252</v>
      </c>
      <c r="E12" s="17" t="s">
        <v>253</v>
      </c>
      <c r="F12" s="16" t="s">
        <v>92</v>
      </c>
      <c r="G12" s="24" t="s">
        <v>5</v>
      </c>
      <c r="H12" s="19"/>
      <c r="I12" s="20"/>
      <c r="J12" s="20"/>
    </row>
    <row r="13" spans="1:10" x14ac:dyDescent="0.25">
      <c r="A13" s="21">
        <v>8</v>
      </c>
      <c r="B13" s="22" t="s">
        <v>250</v>
      </c>
      <c r="C13" s="23" t="s">
        <v>254</v>
      </c>
      <c r="D13" s="22" t="s">
        <v>255</v>
      </c>
      <c r="E13" s="22" t="s">
        <v>256</v>
      </c>
      <c r="F13" s="21" t="s">
        <v>70</v>
      </c>
      <c r="G13" s="25" t="s">
        <v>5</v>
      </c>
      <c r="H13" s="19"/>
      <c r="I13" s="20"/>
      <c r="J13" s="20"/>
    </row>
    <row r="14" spans="1:10" ht="22.5" x14ac:dyDescent="0.25">
      <c r="A14" s="16">
        <v>9</v>
      </c>
      <c r="B14" s="17" t="s">
        <v>257</v>
      </c>
      <c r="C14" s="18" t="s">
        <v>258</v>
      </c>
      <c r="D14" s="17" t="s">
        <v>259</v>
      </c>
      <c r="E14" s="17" t="s">
        <v>260</v>
      </c>
      <c r="F14" s="16" t="s">
        <v>70</v>
      </c>
      <c r="G14" s="16" t="s">
        <v>60</v>
      </c>
      <c r="H14" s="19"/>
      <c r="I14" s="20"/>
      <c r="J14" s="20"/>
    </row>
    <row r="15" spans="1:10" ht="22.5" x14ac:dyDescent="0.25">
      <c r="A15" s="21">
        <v>10</v>
      </c>
      <c r="B15" s="22" t="s">
        <v>261</v>
      </c>
      <c r="C15" s="23" t="s">
        <v>262</v>
      </c>
      <c r="D15" s="22" t="s">
        <v>263</v>
      </c>
      <c r="E15" s="22" t="s">
        <v>264</v>
      </c>
      <c r="F15" s="21" t="s">
        <v>70</v>
      </c>
      <c r="G15" s="25" t="s">
        <v>5</v>
      </c>
      <c r="H15" s="19"/>
      <c r="I15" s="20"/>
      <c r="J15" s="20"/>
    </row>
  </sheetData>
  <mergeCells count="4">
    <mergeCell ref="F1:J1"/>
    <mergeCell ref="A1:E1"/>
    <mergeCell ref="A4:J4"/>
    <mergeCell ref="A2:J2"/>
  </mergeCells>
  <conditionalFormatting sqref="G6:H15">
    <cfRule type="cellIs" dxfId="29" priority="1" operator="equal">
      <formula>"OK"</formula>
    </cfRule>
    <cfRule type="cellIs" dxfId="28" priority="2" operator="equal">
      <formula>"KO"</formula>
    </cfRule>
    <cfRule type="cellIs" dxfId="27" priority="3" operator="equal">
      <formula>"Bloqué"</formula>
    </cfRule>
  </conditionalFormatting>
  <dataValidations count="1">
    <dataValidation type="list" allowBlank="1" sqref="H6:H15" xr:uid="{00000000-0002-0000-05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6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265</v>
      </c>
      <c r="B1" s="27"/>
      <c r="C1" s="27"/>
      <c r="D1" s="27"/>
      <c r="E1" s="27"/>
      <c r="F1" s="29" t="s">
        <v>266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COUNTA($A$6:$A$16)</f>
        <v>11</v>
      </c>
      <c r="C3" s="14" t="s">
        <v>5</v>
      </c>
      <c r="D3" s="15">
        <f>COUNTIF($H$6:$H$16,"OK")</f>
        <v>0</v>
      </c>
      <c r="E3" s="14" t="s">
        <v>6</v>
      </c>
      <c r="F3" s="15">
        <f>COUNTIF($H$6:$H$16,"KO")</f>
        <v>0</v>
      </c>
      <c r="G3" s="14" t="s">
        <v>8</v>
      </c>
      <c r="H3" s="15">
        <f>COUNTA($A$6:$A$16)-COUNTA($H$6:$H$16)</f>
        <v>11</v>
      </c>
      <c r="I3" s="14" t="s">
        <v>43</v>
      </c>
      <c r="J3" s="15" t="str">
        <f>COUNTIF($G$6:$G$16,"OK")&amp;" / "&amp;COUNTIF($G$6:$G$16,"KO")</f>
        <v>8 / 1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267</v>
      </c>
      <c r="C6" s="18" t="s">
        <v>268</v>
      </c>
      <c r="D6" s="17" t="s">
        <v>269</v>
      </c>
      <c r="E6" s="17" t="s">
        <v>270</v>
      </c>
      <c r="F6" s="16" t="s">
        <v>59</v>
      </c>
      <c r="G6" s="24" t="s">
        <v>5</v>
      </c>
      <c r="H6" s="19"/>
      <c r="I6" s="20"/>
      <c r="J6" s="20"/>
    </row>
    <row r="7" spans="1:10" ht="22.5" x14ac:dyDescent="0.25">
      <c r="A7" s="21">
        <v>2</v>
      </c>
      <c r="B7" s="22" t="s">
        <v>267</v>
      </c>
      <c r="C7" s="23" t="s">
        <v>271</v>
      </c>
      <c r="D7" s="22" t="s">
        <v>272</v>
      </c>
      <c r="E7" s="22" t="s">
        <v>273</v>
      </c>
      <c r="F7" s="21" t="s">
        <v>92</v>
      </c>
      <c r="G7" s="25" t="s">
        <v>5</v>
      </c>
      <c r="H7" s="19"/>
      <c r="I7" s="20"/>
      <c r="J7" s="20"/>
    </row>
    <row r="8" spans="1:10" ht="22.5" x14ac:dyDescent="0.25">
      <c r="A8" s="16">
        <v>3</v>
      </c>
      <c r="B8" s="17" t="s">
        <v>267</v>
      </c>
      <c r="C8" s="18" t="s">
        <v>274</v>
      </c>
      <c r="D8" s="17" t="s">
        <v>275</v>
      </c>
      <c r="E8" s="17" t="s">
        <v>276</v>
      </c>
      <c r="F8" s="16" t="s">
        <v>92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277</v>
      </c>
      <c r="C9" s="23" t="s">
        <v>278</v>
      </c>
      <c r="D9" s="22" t="s">
        <v>279</v>
      </c>
      <c r="E9" s="22" t="s">
        <v>280</v>
      </c>
      <c r="F9" s="21" t="s">
        <v>59</v>
      </c>
      <c r="G9" s="25" t="s">
        <v>5</v>
      </c>
      <c r="H9" s="19"/>
      <c r="I9" s="20"/>
      <c r="J9" s="20"/>
    </row>
    <row r="10" spans="1:10" ht="22.5" x14ac:dyDescent="0.25">
      <c r="A10" s="16">
        <v>5</v>
      </c>
      <c r="B10" s="17" t="s">
        <v>281</v>
      </c>
      <c r="C10" s="18" t="s">
        <v>282</v>
      </c>
      <c r="D10" s="17" t="s">
        <v>283</v>
      </c>
      <c r="E10" s="17" t="s">
        <v>284</v>
      </c>
      <c r="F10" s="16" t="s">
        <v>92</v>
      </c>
      <c r="G10" s="24" t="s">
        <v>5</v>
      </c>
      <c r="H10" s="19"/>
      <c r="I10" s="20"/>
      <c r="J10" s="20"/>
    </row>
    <row r="11" spans="1:10" ht="22.5" x14ac:dyDescent="0.25">
      <c r="A11" s="21">
        <v>6</v>
      </c>
      <c r="B11" s="22" t="s">
        <v>281</v>
      </c>
      <c r="C11" s="23" t="s">
        <v>285</v>
      </c>
      <c r="D11" s="22" t="s">
        <v>286</v>
      </c>
      <c r="E11" s="22" t="s">
        <v>287</v>
      </c>
      <c r="F11" s="21" t="s">
        <v>92</v>
      </c>
      <c r="G11" s="21" t="s">
        <v>60</v>
      </c>
      <c r="H11" s="19"/>
      <c r="I11" s="20"/>
      <c r="J11" s="20"/>
    </row>
    <row r="12" spans="1:10" ht="22.5" x14ac:dyDescent="0.25">
      <c r="A12" s="16">
        <v>7</v>
      </c>
      <c r="B12" s="17" t="s">
        <v>281</v>
      </c>
      <c r="C12" s="18" t="s">
        <v>288</v>
      </c>
      <c r="D12" s="17" t="s">
        <v>289</v>
      </c>
      <c r="E12" s="17" t="s">
        <v>290</v>
      </c>
      <c r="F12" s="16" t="s">
        <v>70</v>
      </c>
      <c r="G12" s="24" t="s">
        <v>5</v>
      </c>
      <c r="H12" s="19"/>
      <c r="I12" s="20"/>
      <c r="J12" s="20"/>
    </row>
    <row r="13" spans="1:10" ht="22.5" x14ac:dyDescent="0.25">
      <c r="A13" s="21">
        <v>8</v>
      </c>
      <c r="B13" s="22" t="s">
        <v>291</v>
      </c>
      <c r="C13" s="23" t="s">
        <v>292</v>
      </c>
      <c r="D13" s="22" t="s">
        <v>293</v>
      </c>
      <c r="E13" s="22" t="s">
        <v>294</v>
      </c>
      <c r="F13" s="21" t="s">
        <v>59</v>
      </c>
      <c r="G13" s="25" t="s">
        <v>6</v>
      </c>
      <c r="H13" s="19"/>
      <c r="I13" s="20"/>
      <c r="J13" s="20" t="s">
        <v>295</v>
      </c>
    </row>
    <row r="14" spans="1:10" ht="22.5" x14ac:dyDescent="0.25">
      <c r="A14" s="16">
        <v>9</v>
      </c>
      <c r="B14" s="17" t="s">
        <v>296</v>
      </c>
      <c r="C14" s="18" t="s">
        <v>297</v>
      </c>
      <c r="D14" s="17" t="s">
        <v>298</v>
      </c>
      <c r="E14" s="17" t="s">
        <v>299</v>
      </c>
      <c r="F14" s="16" t="s">
        <v>92</v>
      </c>
      <c r="G14" s="16" t="s">
        <v>60</v>
      </c>
      <c r="H14" s="19"/>
      <c r="I14" s="20"/>
      <c r="J14" s="20"/>
    </row>
    <row r="15" spans="1:10" ht="22.5" x14ac:dyDescent="0.25">
      <c r="A15" s="21">
        <v>10</v>
      </c>
      <c r="B15" s="22" t="s">
        <v>300</v>
      </c>
      <c r="C15" s="23" t="s">
        <v>301</v>
      </c>
      <c r="D15" s="22" t="s">
        <v>302</v>
      </c>
      <c r="E15" s="22" t="s">
        <v>303</v>
      </c>
      <c r="F15" s="21" t="s">
        <v>70</v>
      </c>
      <c r="G15" s="25" t="s">
        <v>5</v>
      </c>
      <c r="H15" s="19"/>
      <c r="I15" s="20"/>
      <c r="J15" s="20"/>
    </row>
    <row r="16" spans="1:10" ht="22.5" x14ac:dyDescent="0.25">
      <c r="A16" s="16">
        <v>11</v>
      </c>
      <c r="B16" s="17" t="s">
        <v>304</v>
      </c>
      <c r="C16" s="18" t="s">
        <v>305</v>
      </c>
      <c r="D16" s="17" t="s">
        <v>306</v>
      </c>
      <c r="E16" s="17" t="s">
        <v>307</v>
      </c>
      <c r="F16" s="16" t="s">
        <v>92</v>
      </c>
      <c r="G16" s="24" t="s">
        <v>5</v>
      </c>
      <c r="H16" s="19"/>
      <c r="I16" s="20"/>
      <c r="J16" s="20"/>
    </row>
  </sheetData>
  <mergeCells count="4">
    <mergeCell ref="F1:J1"/>
    <mergeCell ref="A1:E1"/>
    <mergeCell ref="A4:J4"/>
    <mergeCell ref="A2:J2"/>
  </mergeCells>
  <conditionalFormatting sqref="G6:H16">
    <cfRule type="cellIs" dxfId="26" priority="1" operator="equal">
      <formula>"OK"</formula>
    </cfRule>
    <cfRule type="cellIs" dxfId="25" priority="2" operator="equal">
      <formula>"KO"</formula>
    </cfRule>
    <cfRule type="cellIs" dxfId="24" priority="3" operator="equal">
      <formula>"Bloqué"</formula>
    </cfRule>
  </conditionalFormatting>
  <dataValidations count="1">
    <dataValidation type="list" allowBlank="1" sqref="H6:H16" xr:uid="{00000000-0002-0000-06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5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308</v>
      </c>
      <c r="B1" s="27"/>
      <c r="C1" s="27"/>
      <c r="D1" s="27"/>
      <c r="E1" s="27"/>
      <c r="F1" s="29" t="s">
        <v>309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COUNTA($A$6:$A$15)</f>
        <v>10</v>
      </c>
      <c r="C3" s="14" t="s">
        <v>5</v>
      </c>
      <c r="D3" s="15">
        <f>COUNTIF($H$6:$H$15,"OK")</f>
        <v>0</v>
      </c>
      <c r="E3" s="14" t="s">
        <v>6</v>
      </c>
      <c r="F3" s="15">
        <f>COUNTIF($H$6:$H$15,"KO")</f>
        <v>0</v>
      </c>
      <c r="G3" s="14" t="s">
        <v>8</v>
      </c>
      <c r="H3" s="15">
        <f>COUNTA($A$6:$A$15)-COUNTA($H$6:$H$15)</f>
        <v>10</v>
      </c>
      <c r="I3" s="14" t="s">
        <v>43</v>
      </c>
      <c r="J3" s="15" t="str">
        <f>COUNTIF($G$6:$G$15,"OK")&amp;" / "&amp;COUNTIF($G$6:$G$15,"KO")</f>
        <v>7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310</v>
      </c>
      <c r="C6" s="18" t="s">
        <v>311</v>
      </c>
      <c r="D6" s="17" t="s">
        <v>312</v>
      </c>
      <c r="E6" s="17" t="s">
        <v>313</v>
      </c>
      <c r="F6" s="16" t="s">
        <v>92</v>
      </c>
      <c r="G6" s="24" t="s">
        <v>5</v>
      </c>
      <c r="H6" s="19"/>
      <c r="I6" s="20"/>
      <c r="J6" s="20"/>
    </row>
    <row r="7" spans="1:10" ht="22.5" x14ac:dyDescent="0.25">
      <c r="A7" s="21">
        <v>2</v>
      </c>
      <c r="B7" s="22" t="s">
        <v>310</v>
      </c>
      <c r="C7" s="23" t="s">
        <v>314</v>
      </c>
      <c r="D7" s="22" t="s">
        <v>315</v>
      </c>
      <c r="E7" s="22" t="s">
        <v>316</v>
      </c>
      <c r="F7" s="21" t="s">
        <v>92</v>
      </c>
      <c r="G7" s="25" t="s">
        <v>5</v>
      </c>
      <c r="H7" s="19"/>
      <c r="I7" s="20"/>
      <c r="J7" s="20"/>
    </row>
    <row r="8" spans="1:10" ht="22.5" x14ac:dyDescent="0.25">
      <c r="A8" s="16">
        <v>3</v>
      </c>
      <c r="B8" s="17" t="s">
        <v>310</v>
      </c>
      <c r="C8" s="18" t="s">
        <v>317</v>
      </c>
      <c r="D8" s="17" t="s">
        <v>318</v>
      </c>
      <c r="E8" s="17" t="s">
        <v>319</v>
      </c>
      <c r="F8" s="16" t="s">
        <v>70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320</v>
      </c>
      <c r="C9" s="23" t="s">
        <v>321</v>
      </c>
      <c r="D9" s="22" t="s">
        <v>322</v>
      </c>
      <c r="E9" s="22" t="s">
        <v>323</v>
      </c>
      <c r="F9" s="21" t="s">
        <v>59</v>
      </c>
      <c r="G9" s="21" t="s">
        <v>60</v>
      </c>
      <c r="H9" s="19"/>
      <c r="I9" s="20"/>
      <c r="J9" s="20"/>
    </row>
    <row r="10" spans="1:10" ht="22.5" x14ac:dyDescent="0.25">
      <c r="A10" s="16">
        <v>5</v>
      </c>
      <c r="B10" s="17" t="s">
        <v>324</v>
      </c>
      <c r="C10" s="18" t="s">
        <v>325</v>
      </c>
      <c r="D10" s="17" t="s">
        <v>326</v>
      </c>
      <c r="E10" s="17" t="s">
        <v>327</v>
      </c>
      <c r="F10" s="16" t="s">
        <v>92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328</v>
      </c>
      <c r="C11" s="23" t="s">
        <v>329</v>
      </c>
      <c r="D11" s="22" t="s">
        <v>330</v>
      </c>
      <c r="E11" s="22" t="s">
        <v>331</v>
      </c>
      <c r="F11" s="21" t="s">
        <v>92</v>
      </c>
      <c r="G11" s="25" t="s">
        <v>5</v>
      </c>
      <c r="H11" s="19"/>
      <c r="I11" s="20"/>
      <c r="J11" s="20"/>
    </row>
    <row r="12" spans="1:10" ht="22.5" x14ac:dyDescent="0.25">
      <c r="A12" s="16">
        <v>7</v>
      </c>
      <c r="B12" s="17" t="s">
        <v>332</v>
      </c>
      <c r="C12" s="18" t="s">
        <v>333</v>
      </c>
      <c r="D12" s="17" t="s">
        <v>334</v>
      </c>
      <c r="E12" s="17" t="s">
        <v>335</v>
      </c>
      <c r="F12" s="16" t="s">
        <v>70</v>
      </c>
      <c r="G12" s="24" t="s">
        <v>5</v>
      </c>
      <c r="H12" s="19"/>
      <c r="I12" s="20"/>
      <c r="J12" s="20"/>
    </row>
    <row r="13" spans="1:10" ht="22.5" x14ac:dyDescent="0.25">
      <c r="A13" s="21">
        <v>8</v>
      </c>
      <c r="B13" s="22" t="s">
        <v>336</v>
      </c>
      <c r="C13" s="23" t="s">
        <v>337</v>
      </c>
      <c r="D13" s="22" t="s">
        <v>338</v>
      </c>
      <c r="E13" s="22" t="s">
        <v>339</v>
      </c>
      <c r="F13" s="21" t="s">
        <v>92</v>
      </c>
      <c r="G13" s="25" t="s">
        <v>5</v>
      </c>
      <c r="H13" s="19"/>
      <c r="I13" s="20"/>
      <c r="J13" s="20"/>
    </row>
    <row r="14" spans="1:10" ht="22.5" x14ac:dyDescent="0.25">
      <c r="A14" s="16">
        <v>9</v>
      </c>
      <c r="B14" s="17" t="s">
        <v>340</v>
      </c>
      <c r="C14" s="18" t="s">
        <v>341</v>
      </c>
      <c r="D14" s="17" t="s">
        <v>342</v>
      </c>
      <c r="E14" s="17" t="s">
        <v>343</v>
      </c>
      <c r="F14" s="16" t="s">
        <v>92</v>
      </c>
      <c r="G14" s="24" t="s">
        <v>5</v>
      </c>
      <c r="H14" s="19"/>
      <c r="I14" s="20"/>
      <c r="J14" s="20"/>
    </row>
    <row r="15" spans="1:10" x14ac:dyDescent="0.25">
      <c r="A15" s="21">
        <v>10</v>
      </c>
      <c r="B15" s="22" t="s">
        <v>344</v>
      </c>
      <c r="C15" s="23" t="s">
        <v>345</v>
      </c>
      <c r="D15" s="22" t="s">
        <v>346</v>
      </c>
      <c r="E15" s="22" t="s">
        <v>347</v>
      </c>
      <c r="F15" s="21" t="s">
        <v>70</v>
      </c>
      <c r="G15" s="21" t="s">
        <v>60</v>
      </c>
      <c r="H15" s="19"/>
      <c r="I15" s="20"/>
      <c r="J15" s="20"/>
    </row>
  </sheetData>
  <mergeCells count="4">
    <mergeCell ref="F1:J1"/>
    <mergeCell ref="A1:E1"/>
    <mergeCell ref="A4:J4"/>
    <mergeCell ref="A2:J2"/>
  </mergeCells>
  <conditionalFormatting sqref="G6:H15">
    <cfRule type="cellIs" dxfId="23" priority="1" operator="equal">
      <formula>"OK"</formula>
    </cfRule>
    <cfRule type="cellIs" dxfId="22" priority="2" operator="equal">
      <formula>"KO"</formula>
    </cfRule>
    <cfRule type="cellIs" dxfId="21" priority="3" operator="equal">
      <formula>"Bloqué"</formula>
    </cfRule>
  </conditionalFormatting>
  <dataValidations count="1">
    <dataValidation type="list" allowBlank="1" sqref="H6:H15" xr:uid="{00000000-0002-0000-07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2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348</v>
      </c>
      <c r="B1" s="27"/>
      <c r="C1" s="27"/>
      <c r="D1" s="27"/>
      <c r="E1" s="27"/>
      <c r="F1" s="29" t="s">
        <v>349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COUNTA($A$6:$A$12)</f>
        <v>7</v>
      </c>
      <c r="C3" s="14" t="s">
        <v>5</v>
      </c>
      <c r="D3" s="15">
        <f>COUNTIF($H$6:$H$12,"OK")</f>
        <v>0</v>
      </c>
      <c r="E3" s="14" t="s">
        <v>6</v>
      </c>
      <c r="F3" s="15">
        <f>COUNTIF($H$6:$H$12,"KO")</f>
        <v>0</v>
      </c>
      <c r="G3" s="14" t="s">
        <v>8</v>
      </c>
      <c r="H3" s="15">
        <f>COUNTA($A$6:$A$12)-COUNTA($H$6:$H$12)</f>
        <v>7</v>
      </c>
      <c r="I3" s="14" t="s">
        <v>43</v>
      </c>
      <c r="J3" s="15" t="str">
        <f>COUNTIF($G$6:$G$12,"OK")&amp;" / "&amp;COUNTIF($G$6:$G$12,"KO")</f>
        <v>4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350</v>
      </c>
      <c r="C6" s="18" t="s">
        <v>351</v>
      </c>
      <c r="D6" s="17" t="s">
        <v>352</v>
      </c>
      <c r="E6" s="17" t="s">
        <v>353</v>
      </c>
      <c r="F6" s="16" t="s">
        <v>92</v>
      </c>
      <c r="G6" s="24" t="s">
        <v>5</v>
      </c>
      <c r="H6" s="19"/>
      <c r="I6" s="20"/>
      <c r="J6" s="20"/>
    </row>
    <row r="7" spans="1:10" ht="22.5" x14ac:dyDescent="0.25">
      <c r="A7" s="21">
        <v>2</v>
      </c>
      <c r="B7" s="22" t="s">
        <v>350</v>
      </c>
      <c r="C7" s="23" t="s">
        <v>354</v>
      </c>
      <c r="D7" s="22" t="s">
        <v>355</v>
      </c>
      <c r="E7" s="22" t="s">
        <v>356</v>
      </c>
      <c r="F7" s="21" t="s">
        <v>59</v>
      </c>
      <c r="G7" s="21" t="s">
        <v>60</v>
      </c>
      <c r="H7" s="19"/>
      <c r="I7" s="20"/>
      <c r="J7" s="20"/>
    </row>
    <row r="8" spans="1:10" ht="22.5" x14ac:dyDescent="0.25">
      <c r="A8" s="16">
        <v>3</v>
      </c>
      <c r="B8" s="17" t="s">
        <v>350</v>
      </c>
      <c r="C8" s="18" t="s">
        <v>357</v>
      </c>
      <c r="D8" s="17" t="s">
        <v>358</v>
      </c>
      <c r="E8" s="17" t="s">
        <v>359</v>
      </c>
      <c r="F8" s="16" t="s">
        <v>92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350</v>
      </c>
      <c r="C9" s="23" t="s">
        <v>360</v>
      </c>
      <c r="D9" s="22" t="s">
        <v>361</v>
      </c>
      <c r="E9" s="22" t="s">
        <v>362</v>
      </c>
      <c r="F9" s="21" t="s">
        <v>92</v>
      </c>
      <c r="G9" s="25" t="s">
        <v>5</v>
      </c>
      <c r="H9" s="19"/>
      <c r="I9" s="20"/>
      <c r="J9" s="20"/>
    </row>
    <row r="10" spans="1:10" x14ac:dyDescent="0.25">
      <c r="A10" s="16">
        <v>5</v>
      </c>
      <c r="B10" s="17" t="s">
        <v>350</v>
      </c>
      <c r="C10" s="18" t="s">
        <v>363</v>
      </c>
      <c r="D10" s="17" t="s">
        <v>364</v>
      </c>
      <c r="E10" s="17" t="s">
        <v>365</v>
      </c>
      <c r="F10" s="16" t="s">
        <v>70</v>
      </c>
      <c r="G10" s="16" t="s">
        <v>60</v>
      </c>
      <c r="H10" s="19"/>
      <c r="I10" s="20"/>
      <c r="J10" s="20"/>
    </row>
    <row r="11" spans="1:10" x14ac:dyDescent="0.25">
      <c r="A11" s="21">
        <v>6</v>
      </c>
      <c r="B11" s="22" t="s">
        <v>350</v>
      </c>
      <c r="C11" s="23" t="s">
        <v>366</v>
      </c>
      <c r="D11" s="22" t="s">
        <v>367</v>
      </c>
      <c r="E11" s="22" t="s">
        <v>368</v>
      </c>
      <c r="F11" s="21" t="s">
        <v>70</v>
      </c>
      <c r="G11" s="21" t="s">
        <v>60</v>
      </c>
      <c r="H11" s="19"/>
      <c r="I11" s="20"/>
      <c r="J11" s="20"/>
    </row>
    <row r="12" spans="1:10" ht="22.5" x14ac:dyDescent="0.25">
      <c r="A12" s="16">
        <v>7</v>
      </c>
      <c r="B12" s="17" t="s">
        <v>369</v>
      </c>
      <c r="C12" s="18" t="s">
        <v>370</v>
      </c>
      <c r="D12" s="17" t="s">
        <v>371</v>
      </c>
      <c r="E12" s="17" t="s">
        <v>372</v>
      </c>
      <c r="F12" s="16" t="s">
        <v>70</v>
      </c>
      <c r="G12" s="24" t="s">
        <v>5</v>
      </c>
      <c r="H12" s="19"/>
      <c r="I12" s="20"/>
      <c r="J12" s="20"/>
    </row>
  </sheetData>
  <mergeCells count="4">
    <mergeCell ref="F1:J1"/>
    <mergeCell ref="A1:E1"/>
    <mergeCell ref="A4:J4"/>
    <mergeCell ref="A2:J2"/>
  </mergeCells>
  <conditionalFormatting sqref="G6:H12">
    <cfRule type="cellIs" dxfId="20" priority="1" operator="equal">
      <formula>"OK"</formula>
    </cfRule>
    <cfRule type="cellIs" dxfId="19" priority="2" operator="equal">
      <formula>"KO"</formula>
    </cfRule>
    <cfRule type="cellIs" dxfId="18" priority="3" operator="equal">
      <formula>"Bloqué"</formula>
    </cfRule>
  </conditionalFormatting>
  <dataValidations count="1">
    <dataValidation type="list" allowBlank="1" sqref="H6:H12" xr:uid="{00000000-0002-0000-08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5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373</v>
      </c>
      <c r="B1" s="27"/>
      <c r="C1" s="27"/>
      <c r="D1" s="27"/>
      <c r="E1" s="27"/>
      <c r="F1" s="29" t="s">
        <v>374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COUNTA($A$6:$A$15)</f>
        <v>10</v>
      </c>
      <c r="C3" s="14" t="s">
        <v>5</v>
      </c>
      <c r="D3" s="15">
        <f>COUNTIF($H$6:$H$15,"OK")</f>
        <v>0</v>
      </c>
      <c r="E3" s="14" t="s">
        <v>6</v>
      </c>
      <c r="F3" s="15">
        <f>COUNTIF($H$6:$H$15,"KO")</f>
        <v>0</v>
      </c>
      <c r="G3" s="14" t="s">
        <v>8</v>
      </c>
      <c r="H3" s="15">
        <f>COUNTA($A$6:$A$15)-COUNTA($H$6:$H$15)</f>
        <v>10</v>
      </c>
      <c r="I3" s="14" t="s">
        <v>43</v>
      </c>
      <c r="J3" s="15" t="str">
        <f>COUNTIF($G$6:$G$15,"OK")&amp;" / "&amp;COUNTIF($G$6:$G$15,"KO")</f>
        <v>6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375</v>
      </c>
      <c r="C6" s="18" t="s">
        <v>376</v>
      </c>
      <c r="D6" s="17" t="s">
        <v>377</v>
      </c>
      <c r="E6" s="17" t="s">
        <v>378</v>
      </c>
      <c r="F6" s="16" t="s">
        <v>59</v>
      </c>
      <c r="G6" s="24" t="s">
        <v>5</v>
      </c>
      <c r="H6" s="19"/>
      <c r="I6" s="20"/>
      <c r="J6" s="20"/>
    </row>
    <row r="7" spans="1:10" x14ac:dyDescent="0.25">
      <c r="A7" s="21">
        <v>2</v>
      </c>
      <c r="B7" s="22" t="s">
        <v>375</v>
      </c>
      <c r="C7" s="23" t="s">
        <v>379</v>
      </c>
      <c r="D7" s="22" t="s">
        <v>380</v>
      </c>
      <c r="E7" s="22" t="s">
        <v>381</v>
      </c>
      <c r="F7" s="21" t="s">
        <v>70</v>
      </c>
      <c r="G7" s="21" t="s">
        <v>60</v>
      </c>
      <c r="H7" s="19"/>
      <c r="I7" s="20"/>
      <c r="J7" s="20"/>
    </row>
    <row r="8" spans="1:10" ht="22.5" x14ac:dyDescent="0.25">
      <c r="A8" s="16">
        <v>3</v>
      </c>
      <c r="B8" s="17" t="s">
        <v>382</v>
      </c>
      <c r="C8" s="18" t="s">
        <v>383</v>
      </c>
      <c r="D8" s="17" t="s">
        <v>384</v>
      </c>
      <c r="E8" s="17" t="s">
        <v>385</v>
      </c>
      <c r="F8" s="16" t="s">
        <v>92</v>
      </c>
      <c r="G8" s="24" t="s">
        <v>5</v>
      </c>
      <c r="H8" s="19"/>
      <c r="I8" s="20"/>
      <c r="J8" s="20"/>
    </row>
    <row r="9" spans="1:10" x14ac:dyDescent="0.25">
      <c r="A9" s="21">
        <v>4</v>
      </c>
      <c r="B9" s="22" t="s">
        <v>382</v>
      </c>
      <c r="C9" s="23" t="s">
        <v>386</v>
      </c>
      <c r="D9" s="22" t="s">
        <v>387</v>
      </c>
      <c r="E9" s="22" t="s">
        <v>388</v>
      </c>
      <c r="F9" s="21" t="s">
        <v>70</v>
      </c>
      <c r="G9" s="21" t="s">
        <v>60</v>
      </c>
      <c r="H9" s="19"/>
      <c r="I9" s="20"/>
      <c r="J9" s="20"/>
    </row>
    <row r="10" spans="1:10" ht="22.5" x14ac:dyDescent="0.25">
      <c r="A10" s="16">
        <v>5</v>
      </c>
      <c r="B10" s="17" t="s">
        <v>389</v>
      </c>
      <c r="C10" s="18" t="s">
        <v>390</v>
      </c>
      <c r="D10" s="17" t="s">
        <v>391</v>
      </c>
      <c r="E10" s="17" t="s">
        <v>392</v>
      </c>
      <c r="F10" s="16" t="s">
        <v>59</v>
      </c>
      <c r="G10" s="24" t="s">
        <v>5</v>
      </c>
      <c r="H10" s="19"/>
      <c r="I10" s="20"/>
      <c r="J10" s="20"/>
    </row>
    <row r="11" spans="1:10" ht="22.5" x14ac:dyDescent="0.25">
      <c r="A11" s="21">
        <v>6</v>
      </c>
      <c r="B11" s="22" t="s">
        <v>393</v>
      </c>
      <c r="C11" s="23" t="s">
        <v>394</v>
      </c>
      <c r="D11" s="22" t="s">
        <v>395</v>
      </c>
      <c r="E11" s="22" t="s">
        <v>396</v>
      </c>
      <c r="F11" s="21" t="s">
        <v>92</v>
      </c>
      <c r="G11" s="21" t="s">
        <v>60</v>
      </c>
      <c r="H11" s="19"/>
      <c r="I11" s="20"/>
      <c r="J11" s="20"/>
    </row>
    <row r="12" spans="1:10" x14ac:dyDescent="0.25">
      <c r="A12" s="16">
        <v>7</v>
      </c>
      <c r="B12" s="17" t="s">
        <v>397</v>
      </c>
      <c r="C12" s="18" t="s">
        <v>398</v>
      </c>
      <c r="D12" s="17" t="s">
        <v>399</v>
      </c>
      <c r="E12" s="17" t="s">
        <v>400</v>
      </c>
      <c r="F12" s="16" t="s">
        <v>70</v>
      </c>
      <c r="G12" s="24" t="s">
        <v>5</v>
      </c>
      <c r="H12" s="19"/>
      <c r="I12" s="20"/>
      <c r="J12" s="20"/>
    </row>
    <row r="13" spans="1:10" x14ac:dyDescent="0.25">
      <c r="A13" s="21">
        <v>8</v>
      </c>
      <c r="B13" s="22" t="s">
        <v>401</v>
      </c>
      <c r="C13" s="23" t="s">
        <v>402</v>
      </c>
      <c r="D13" s="22" t="s">
        <v>403</v>
      </c>
      <c r="E13" s="22" t="s">
        <v>404</v>
      </c>
      <c r="F13" s="21" t="s">
        <v>70</v>
      </c>
      <c r="G13" s="21" t="s">
        <v>60</v>
      </c>
      <c r="H13" s="19"/>
      <c r="I13" s="20"/>
      <c r="J13" s="20"/>
    </row>
    <row r="14" spans="1:10" ht="22.5" x14ac:dyDescent="0.25">
      <c r="A14" s="16">
        <v>9</v>
      </c>
      <c r="B14" s="17" t="s">
        <v>405</v>
      </c>
      <c r="C14" s="18" t="s">
        <v>406</v>
      </c>
      <c r="D14" s="17" t="s">
        <v>407</v>
      </c>
      <c r="E14" s="17" t="s">
        <v>408</v>
      </c>
      <c r="F14" s="16" t="s">
        <v>70</v>
      </c>
      <c r="G14" s="24" t="s">
        <v>5</v>
      </c>
      <c r="H14" s="19"/>
      <c r="I14" s="20"/>
      <c r="J14" s="20"/>
    </row>
    <row r="15" spans="1:10" x14ac:dyDescent="0.25">
      <c r="A15" s="21">
        <v>10</v>
      </c>
      <c r="B15" s="22" t="s">
        <v>409</v>
      </c>
      <c r="C15" s="23" t="s">
        <v>410</v>
      </c>
      <c r="D15" s="22" t="s">
        <v>411</v>
      </c>
      <c r="E15" s="22" t="s">
        <v>412</v>
      </c>
      <c r="F15" s="21" t="s">
        <v>70</v>
      </c>
      <c r="G15" s="25" t="s">
        <v>5</v>
      </c>
      <c r="H15" s="19"/>
      <c r="I15" s="20"/>
      <c r="J15" s="20"/>
    </row>
  </sheetData>
  <mergeCells count="4">
    <mergeCell ref="F1:J1"/>
    <mergeCell ref="A1:E1"/>
    <mergeCell ref="A4:J4"/>
    <mergeCell ref="A2:J2"/>
  </mergeCells>
  <conditionalFormatting sqref="G6:H15">
    <cfRule type="cellIs" dxfId="17" priority="1" operator="equal">
      <formula>"OK"</formula>
    </cfRule>
    <cfRule type="cellIs" dxfId="16" priority="2" operator="equal">
      <formula>"KO"</formula>
    </cfRule>
    <cfRule type="cellIs" dxfId="15" priority="3" operator="equal">
      <formula>"Bloqué"</formula>
    </cfRule>
  </conditionalFormatting>
  <dataValidations count="1">
    <dataValidation type="list" allowBlank="1" sqref="H6:H15" xr:uid="{00000000-0002-0000-09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1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413</v>
      </c>
      <c r="B1" s="27"/>
      <c r="C1" s="27"/>
      <c r="D1" s="27"/>
      <c r="E1" s="27"/>
      <c r="F1" s="29" t="s">
        <v>414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COUNTA($A$6:$A$11)</f>
        <v>6</v>
      </c>
      <c r="C3" s="14" t="s">
        <v>5</v>
      </c>
      <c r="D3" s="15">
        <f>COUNTIF($H$6:$H$11,"OK")</f>
        <v>0</v>
      </c>
      <c r="E3" s="14" t="s">
        <v>6</v>
      </c>
      <c r="F3" s="15">
        <f>COUNTIF($H$6:$H$11,"KO")</f>
        <v>0</v>
      </c>
      <c r="G3" s="14" t="s">
        <v>8</v>
      </c>
      <c r="H3" s="15">
        <f>COUNTA($A$6:$A$11)-COUNTA($H$6:$H$11)</f>
        <v>6</v>
      </c>
      <c r="I3" s="14" t="s">
        <v>43</v>
      </c>
      <c r="J3" s="15" t="str">
        <f>COUNTIF($G$6:$G$11,"OK")&amp;" / "&amp;COUNTIF($G$6:$G$11,"KO")</f>
        <v>0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415</v>
      </c>
      <c r="C6" s="18" t="s">
        <v>416</v>
      </c>
      <c r="D6" s="17" t="s">
        <v>417</v>
      </c>
      <c r="E6" s="17" t="s">
        <v>418</v>
      </c>
      <c r="F6" s="16" t="s">
        <v>92</v>
      </c>
      <c r="G6" s="16" t="s">
        <v>60</v>
      </c>
      <c r="H6" s="19"/>
      <c r="I6" s="20"/>
      <c r="J6" s="20"/>
    </row>
    <row r="7" spans="1:10" ht="22.5" x14ac:dyDescent="0.25">
      <c r="A7" s="21">
        <v>2</v>
      </c>
      <c r="B7" s="22" t="s">
        <v>415</v>
      </c>
      <c r="C7" s="23" t="s">
        <v>419</v>
      </c>
      <c r="D7" s="22" t="s">
        <v>420</v>
      </c>
      <c r="E7" s="22" t="s">
        <v>421</v>
      </c>
      <c r="F7" s="21" t="s">
        <v>70</v>
      </c>
      <c r="G7" s="21" t="s">
        <v>60</v>
      </c>
      <c r="H7" s="19"/>
      <c r="I7" s="20"/>
      <c r="J7" s="20"/>
    </row>
    <row r="8" spans="1:10" x14ac:dyDescent="0.25">
      <c r="A8" s="16">
        <v>3</v>
      </c>
      <c r="B8" s="17" t="s">
        <v>422</v>
      </c>
      <c r="C8" s="18" t="s">
        <v>423</v>
      </c>
      <c r="D8" s="17" t="s">
        <v>424</v>
      </c>
      <c r="E8" s="17" t="s">
        <v>425</v>
      </c>
      <c r="F8" s="16" t="s">
        <v>59</v>
      </c>
      <c r="G8" s="16" t="s">
        <v>60</v>
      </c>
      <c r="H8" s="19"/>
      <c r="I8" s="20"/>
      <c r="J8" s="20"/>
    </row>
    <row r="9" spans="1:10" ht="22.5" x14ac:dyDescent="0.25">
      <c r="A9" s="21">
        <v>4</v>
      </c>
      <c r="B9" s="22" t="s">
        <v>426</v>
      </c>
      <c r="C9" s="23" t="s">
        <v>427</v>
      </c>
      <c r="D9" s="22" t="s">
        <v>428</v>
      </c>
      <c r="E9" s="22" t="s">
        <v>429</v>
      </c>
      <c r="F9" s="21" t="s">
        <v>92</v>
      </c>
      <c r="G9" s="21" t="s">
        <v>60</v>
      </c>
      <c r="H9" s="19"/>
      <c r="I9" s="20"/>
      <c r="J9" s="20"/>
    </row>
    <row r="10" spans="1:10" ht="22.5" x14ac:dyDescent="0.25">
      <c r="A10" s="16">
        <v>5</v>
      </c>
      <c r="B10" s="17" t="s">
        <v>430</v>
      </c>
      <c r="C10" s="18" t="s">
        <v>431</v>
      </c>
      <c r="D10" s="17" t="s">
        <v>432</v>
      </c>
      <c r="E10" s="17" t="s">
        <v>433</v>
      </c>
      <c r="F10" s="16" t="s">
        <v>70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434</v>
      </c>
      <c r="C11" s="23" t="s">
        <v>435</v>
      </c>
      <c r="D11" s="22" t="s">
        <v>436</v>
      </c>
      <c r="E11" s="22" t="s">
        <v>437</v>
      </c>
      <c r="F11" s="21" t="s">
        <v>59</v>
      </c>
      <c r="G11" s="21" t="s">
        <v>60</v>
      </c>
      <c r="H11" s="19"/>
      <c r="I11" s="20"/>
      <c r="J11" s="20"/>
    </row>
  </sheetData>
  <mergeCells count="4">
    <mergeCell ref="F1:J1"/>
    <mergeCell ref="A1:E1"/>
    <mergeCell ref="A4:J4"/>
    <mergeCell ref="A2:J2"/>
  </mergeCells>
  <conditionalFormatting sqref="G6:H11">
    <cfRule type="cellIs" dxfId="14" priority="1" operator="equal">
      <formula>"OK"</formula>
    </cfRule>
    <cfRule type="cellIs" dxfId="13" priority="2" operator="equal">
      <formula>"KO"</formula>
    </cfRule>
    <cfRule type="cellIs" dxfId="12" priority="3" operator="equal">
      <formula>"Bloqué"</formula>
    </cfRule>
  </conditionalFormatting>
  <dataValidations count="1">
    <dataValidation type="list" allowBlank="1" sqref="H6:H11" xr:uid="{00000000-0002-0000-0A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2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438</v>
      </c>
      <c r="B1" s="27"/>
      <c r="C1" s="27"/>
      <c r="D1" s="27"/>
      <c r="E1" s="27"/>
      <c r="F1" s="29" t="s">
        <v>439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COUNTA($A$6:$A$12)</f>
        <v>7</v>
      </c>
      <c r="C3" s="14" t="s">
        <v>5</v>
      </c>
      <c r="D3" s="15">
        <f>COUNTIF($H$6:$H$12,"OK")</f>
        <v>0</v>
      </c>
      <c r="E3" s="14" t="s">
        <v>6</v>
      </c>
      <c r="F3" s="15">
        <f>COUNTIF($H$6:$H$12,"KO")</f>
        <v>0</v>
      </c>
      <c r="G3" s="14" t="s">
        <v>8</v>
      </c>
      <c r="H3" s="15">
        <f>COUNTA($A$6:$A$12)-COUNTA($H$6:$H$12)</f>
        <v>7</v>
      </c>
      <c r="I3" s="14" t="s">
        <v>43</v>
      </c>
      <c r="J3" s="15" t="str">
        <f>COUNTIF($G$6:$G$12,"OK")&amp;" / "&amp;COUNTIF($G$6:$G$12,"KO")</f>
        <v>0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440</v>
      </c>
      <c r="C6" s="18" t="s">
        <v>441</v>
      </c>
      <c r="D6" s="17" t="s">
        <v>442</v>
      </c>
      <c r="E6" s="17" t="s">
        <v>443</v>
      </c>
      <c r="F6" s="16" t="s">
        <v>92</v>
      </c>
      <c r="G6" s="16" t="s">
        <v>60</v>
      </c>
      <c r="H6" s="19"/>
      <c r="I6" s="20"/>
      <c r="J6" s="20"/>
    </row>
    <row r="7" spans="1:10" ht="22.5" x14ac:dyDescent="0.25">
      <c r="A7" s="21">
        <v>2</v>
      </c>
      <c r="B7" s="22" t="s">
        <v>444</v>
      </c>
      <c r="C7" s="23" t="s">
        <v>445</v>
      </c>
      <c r="D7" s="22" t="s">
        <v>446</v>
      </c>
      <c r="E7" s="22" t="s">
        <v>447</v>
      </c>
      <c r="F7" s="21" t="s">
        <v>92</v>
      </c>
      <c r="G7" s="21" t="s">
        <v>60</v>
      </c>
      <c r="H7" s="19"/>
      <c r="I7" s="20"/>
      <c r="J7" s="20"/>
    </row>
    <row r="8" spans="1:10" ht="22.5" x14ac:dyDescent="0.25">
      <c r="A8" s="16">
        <v>3</v>
      </c>
      <c r="B8" s="17" t="s">
        <v>444</v>
      </c>
      <c r="C8" s="18" t="s">
        <v>448</v>
      </c>
      <c r="D8" s="17" t="s">
        <v>449</v>
      </c>
      <c r="E8" s="17" t="s">
        <v>450</v>
      </c>
      <c r="F8" s="16" t="s">
        <v>59</v>
      </c>
      <c r="G8" s="16" t="s">
        <v>60</v>
      </c>
      <c r="H8" s="19"/>
      <c r="I8" s="20"/>
      <c r="J8" s="20"/>
    </row>
    <row r="9" spans="1:10" ht="22.5" x14ac:dyDescent="0.25">
      <c r="A9" s="21">
        <v>4</v>
      </c>
      <c r="B9" s="22" t="s">
        <v>451</v>
      </c>
      <c r="C9" s="23" t="s">
        <v>452</v>
      </c>
      <c r="D9" s="22" t="s">
        <v>453</v>
      </c>
      <c r="E9" s="22" t="s">
        <v>454</v>
      </c>
      <c r="F9" s="21" t="s">
        <v>92</v>
      </c>
      <c r="G9" s="21" t="s">
        <v>60</v>
      </c>
      <c r="H9" s="19"/>
      <c r="I9" s="20"/>
      <c r="J9" s="20"/>
    </row>
    <row r="10" spans="1:10" x14ac:dyDescent="0.25">
      <c r="A10" s="16">
        <v>5</v>
      </c>
      <c r="B10" s="17" t="s">
        <v>455</v>
      </c>
      <c r="C10" s="18" t="s">
        <v>456</v>
      </c>
      <c r="D10" s="17" t="s">
        <v>457</v>
      </c>
      <c r="E10" s="17" t="s">
        <v>458</v>
      </c>
      <c r="F10" s="16" t="s">
        <v>70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459</v>
      </c>
      <c r="C11" s="23" t="s">
        <v>460</v>
      </c>
      <c r="D11" s="22" t="s">
        <v>461</v>
      </c>
      <c r="E11" s="22" t="s">
        <v>462</v>
      </c>
      <c r="F11" s="21" t="s">
        <v>92</v>
      </c>
      <c r="G11" s="21" t="s">
        <v>60</v>
      </c>
      <c r="H11" s="19"/>
      <c r="I11" s="20"/>
      <c r="J11" s="20"/>
    </row>
    <row r="12" spans="1:10" x14ac:dyDescent="0.25">
      <c r="A12" s="16">
        <v>7</v>
      </c>
      <c r="B12" s="17" t="s">
        <v>463</v>
      </c>
      <c r="C12" s="18" t="s">
        <v>464</v>
      </c>
      <c r="D12" s="17" t="s">
        <v>465</v>
      </c>
      <c r="E12" s="17" t="s">
        <v>466</v>
      </c>
      <c r="F12" s="16" t="s">
        <v>70</v>
      </c>
      <c r="G12" s="16" t="s">
        <v>60</v>
      </c>
      <c r="H12" s="19"/>
      <c r="I12" s="20"/>
      <c r="J12" s="20"/>
    </row>
  </sheetData>
  <mergeCells count="4">
    <mergeCell ref="F1:J1"/>
    <mergeCell ref="A1:E1"/>
    <mergeCell ref="A4:J4"/>
    <mergeCell ref="A2:J2"/>
  </mergeCells>
  <conditionalFormatting sqref="G6:H12">
    <cfRule type="cellIs" dxfId="11" priority="1" operator="equal">
      <formula>"OK"</formula>
    </cfRule>
    <cfRule type="cellIs" dxfId="10" priority="2" operator="equal">
      <formula>"KO"</formula>
    </cfRule>
    <cfRule type="cellIs" dxfId="9" priority="3" operator="equal">
      <formula>"Bloqué"</formula>
    </cfRule>
  </conditionalFormatting>
  <dataValidations count="1">
    <dataValidation type="list" allowBlank="1" sqref="H6:H12" xr:uid="{00000000-0002-0000-0B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1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467</v>
      </c>
      <c r="B1" s="27"/>
      <c r="C1" s="27"/>
      <c r="D1" s="27"/>
      <c r="E1" s="27"/>
      <c r="F1" s="29" t="s">
        <v>468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COUNTA($A$6:$A$11)</f>
        <v>6</v>
      </c>
      <c r="C3" s="14" t="s">
        <v>5</v>
      </c>
      <c r="D3" s="15">
        <f>COUNTIF($H$6:$H$11,"OK")</f>
        <v>0</v>
      </c>
      <c r="E3" s="14" t="s">
        <v>6</v>
      </c>
      <c r="F3" s="15">
        <f>COUNTIF($H$6:$H$11,"KO")</f>
        <v>0</v>
      </c>
      <c r="G3" s="14" t="s">
        <v>8</v>
      </c>
      <c r="H3" s="15">
        <f>COUNTA($A$6:$A$11)-COUNTA($H$6:$H$11)</f>
        <v>6</v>
      </c>
      <c r="I3" s="14" t="s">
        <v>43</v>
      </c>
      <c r="J3" s="15" t="str">
        <f>COUNTIF($G$6:$G$11,"OK")&amp;" / "&amp;COUNTIF($G$6:$G$11,"KO")</f>
        <v>2 / 2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469</v>
      </c>
      <c r="C6" s="18" t="s">
        <v>470</v>
      </c>
      <c r="D6" s="17" t="s">
        <v>471</v>
      </c>
      <c r="E6" s="17" t="s">
        <v>472</v>
      </c>
      <c r="F6" s="16" t="s">
        <v>92</v>
      </c>
      <c r="G6" s="24" t="s">
        <v>5</v>
      </c>
      <c r="H6" s="19"/>
      <c r="I6" s="20"/>
      <c r="J6" s="20"/>
    </row>
    <row r="7" spans="1:10" x14ac:dyDescent="0.25">
      <c r="A7" s="21">
        <v>2</v>
      </c>
      <c r="B7" s="22" t="s">
        <v>473</v>
      </c>
      <c r="C7" s="23" t="s">
        <v>474</v>
      </c>
      <c r="D7" s="22" t="s">
        <v>475</v>
      </c>
      <c r="E7" s="22" t="s">
        <v>476</v>
      </c>
      <c r="F7" s="21" t="s">
        <v>59</v>
      </c>
      <c r="G7" s="25" t="s">
        <v>6</v>
      </c>
      <c r="H7" s="19"/>
      <c r="I7" s="20"/>
      <c r="J7" s="20" t="s">
        <v>477</v>
      </c>
    </row>
    <row r="8" spans="1:10" ht="22.5" x14ac:dyDescent="0.25">
      <c r="A8" s="16">
        <v>3</v>
      </c>
      <c r="B8" s="17" t="s">
        <v>478</v>
      </c>
      <c r="C8" s="18" t="s">
        <v>479</v>
      </c>
      <c r="D8" s="17" t="s">
        <v>480</v>
      </c>
      <c r="E8" s="17" t="s">
        <v>481</v>
      </c>
      <c r="F8" s="16" t="s">
        <v>92</v>
      </c>
      <c r="G8" s="24" t="s">
        <v>5</v>
      </c>
      <c r="H8" s="19"/>
      <c r="I8" s="20"/>
      <c r="J8" s="20"/>
    </row>
    <row r="9" spans="1:10" ht="22.5" x14ac:dyDescent="0.25">
      <c r="A9" s="21">
        <v>4</v>
      </c>
      <c r="B9" s="22" t="s">
        <v>482</v>
      </c>
      <c r="C9" s="23" t="s">
        <v>483</v>
      </c>
      <c r="D9" s="22" t="s">
        <v>484</v>
      </c>
      <c r="E9" s="22" t="s">
        <v>485</v>
      </c>
      <c r="F9" s="21" t="s">
        <v>92</v>
      </c>
      <c r="G9" s="25" t="s">
        <v>6</v>
      </c>
      <c r="H9" s="19"/>
      <c r="I9" s="20"/>
      <c r="J9" s="20" t="s">
        <v>486</v>
      </c>
    </row>
    <row r="10" spans="1:10" ht="22.5" x14ac:dyDescent="0.25">
      <c r="A10" s="16">
        <v>5</v>
      </c>
      <c r="B10" s="17" t="s">
        <v>487</v>
      </c>
      <c r="C10" s="18" t="s">
        <v>488</v>
      </c>
      <c r="D10" s="17" t="s">
        <v>489</v>
      </c>
      <c r="E10" s="17" t="s">
        <v>490</v>
      </c>
      <c r="F10" s="16" t="s">
        <v>70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491</v>
      </c>
      <c r="C11" s="23" t="s">
        <v>492</v>
      </c>
      <c r="D11" s="22" t="s">
        <v>493</v>
      </c>
      <c r="E11" s="22" t="s">
        <v>494</v>
      </c>
      <c r="F11" s="21" t="s">
        <v>59</v>
      </c>
      <c r="G11" s="21" t="s">
        <v>60</v>
      </c>
      <c r="H11" s="19"/>
      <c r="I11" s="20"/>
      <c r="J11" s="20"/>
    </row>
  </sheetData>
  <mergeCells count="4">
    <mergeCell ref="F1:J1"/>
    <mergeCell ref="A1:E1"/>
    <mergeCell ref="A4:J4"/>
    <mergeCell ref="A2:J2"/>
  </mergeCells>
  <conditionalFormatting sqref="G6:H11">
    <cfRule type="cellIs" dxfId="8" priority="1" operator="equal">
      <formula>"OK"</formula>
    </cfRule>
    <cfRule type="cellIs" dxfId="7" priority="2" operator="equal">
      <formula>"KO"</formula>
    </cfRule>
    <cfRule type="cellIs" dxfId="6" priority="3" operator="equal">
      <formula>"Bloqué"</formula>
    </cfRule>
  </conditionalFormatting>
  <dataValidations count="1">
    <dataValidation type="list" allowBlank="1" sqref="H6:H11" xr:uid="{00000000-0002-0000-0C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1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495</v>
      </c>
      <c r="B1" s="27"/>
      <c r="C1" s="27"/>
      <c r="D1" s="27"/>
      <c r="E1" s="27"/>
      <c r="F1" s="29" t="s">
        <v>496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COUNTA($A$6:$A$11)</f>
        <v>6</v>
      </c>
      <c r="C3" s="14" t="s">
        <v>5</v>
      </c>
      <c r="D3" s="15">
        <f>COUNTIF($H$6:$H$11,"OK")</f>
        <v>0</v>
      </c>
      <c r="E3" s="14" t="s">
        <v>6</v>
      </c>
      <c r="F3" s="15">
        <f>COUNTIF($H$6:$H$11,"KO")</f>
        <v>0</v>
      </c>
      <c r="G3" s="14" t="s">
        <v>8</v>
      </c>
      <c r="H3" s="15">
        <f>COUNTA($A$6:$A$11)-COUNTA($H$6:$H$11)</f>
        <v>6</v>
      </c>
      <c r="I3" s="14" t="s">
        <v>43</v>
      </c>
      <c r="J3" s="15" t="str">
        <f>COUNTIF($G$6:$G$11,"OK")&amp;" / "&amp;COUNTIF($G$6:$G$11,"KO")</f>
        <v>1 / 3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55</v>
      </c>
      <c r="C6" s="18" t="s">
        <v>497</v>
      </c>
      <c r="D6" s="17" t="s">
        <v>498</v>
      </c>
      <c r="E6" s="17" t="s">
        <v>499</v>
      </c>
      <c r="F6" s="16" t="s">
        <v>59</v>
      </c>
      <c r="G6" s="24" t="s">
        <v>5</v>
      </c>
      <c r="H6" s="19"/>
      <c r="I6" s="20"/>
      <c r="J6" s="20"/>
    </row>
    <row r="7" spans="1:10" ht="22.5" x14ac:dyDescent="0.25">
      <c r="A7" s="21">
        <v>2</v>
      </c>
      <c r="B7" s="22" t="s">
        <v>13</v>
      </c>
      <c r="C7" s="23" t="s">
        <v>500</v>
      </c>
      <c r="D7" s="22" t="s">
        <v>501</v>
      </c>
      <c r="E7" s="22" t="s">
        <v>502</v>
      </c>
      <c r="F7" s="21" t="s">
        <v>59</v>
      </c>
      <c r="G7" s="21" t="s">
        <v>60</v>
      </c>
      <c r="H7" s="19"/>
      <c r="I7" s="20"/>
      <c r="J7" s="20"/>
    </row>
    <row r="8" spans="1:10" ht="22.5" x14ac:dyDescent="0.25">
      <c r="A8" s="16">
        <v>3</v>
      </c>
      <c r="B8" s="17" t="s">
        <v>503</v>
      </c>
      <c r="C8" s="18" t="s">
        <v>504</v>
      </c>
      <c r="D8" s="17" t="s">
        <v>505</v>
      </c>
      <c r="E8" s="17" t="s">
        <v>506</v>
      </c>
      <c r="F8" s="16" t="s">
        <v>92</v>
      </c>
      <c r="G8" s="24" t="s">
        <v>6</v>
      </c>
      <c r="H8" s="19"/>
      <c r="I8" s="20"/>
      <c r="J8" s="20" t="s">
        <v>507</v>
      </c>
    </row>
    <row r="9" spans="1:10" ht="22.5" x14ac:dyDescent="0.25">
      <c r="A9" s="21">
        <v>4</v>
      </c>
      <c r="B9" s="22" t="s">
        <v>508</v>
      </c>
      <c r="C9" s="23" t="s">
        <v>509</v>
      </c>
      <c r="D9" s="22" t="s">
        <v>510</v>
      </c>
      <c r="E9" s="22" t="s">
        <v>511</v>
      </c>
      <c r="F9" s="21" t="s">
        <v>92</v>
      </c>
      <c r="G9" s="25" t="s">
        <v>6</v>
      </c>
      <c r="H9" s="19"/>
      <c r="I9" s="20"/>
      <c r="J9" s="20" t="s">
        <v>512</v>
      </c>
    </row>
    <row r="10" spans="1:10" ht="22.5" x14ac:dyDescent="0.25">
      <c r="A10" s="16">
        <v>5</v>
      </c>
      <c r="B10" s="17" t="s">
        <v>513</v>
      </c>
      <c r="C10" s="18" t="s">
        <v>514</v>
      </c>
      <c r="D10" s="17" t="s">
        <v>515</v>
      </c>
      <c r="E10" s="17" t="s">
        <v>516</v>
      </c>
      <c r="F10" s="16" t="s">
        <v>70</v>
      </c>
      <c r="G10" s="16" t="s">
        <v>60</v>
      </c>
      <c r="H10" s="19"/>
      <c r="I10" s="20"/>
      <c r="J10" s="20"/>
    </row>
    <row r="11" spans="1:10" ht="22.5" x14ac:dyDescent="0.25">
      <c r="A11" s="21">
        <v>6</v>
      </c>
      <c r="B11" s="22" t="s">
        <v>517</v>
      </c>
      <c r="C11" s="23" t="s">
        <v>518</v>
      </c>
      <c r="D11" s="22" t="s">
        <v>519</v>
      </c>
      <c r="E11" s="22" t="s">
        <v>520</v>
      </c>
      <c r="F11" s="21" t="s">
        <v>92</v>
      </c>
      <c r="G11" s="25" t="s">
        <v>6</v>
      </c>
      <c r="H11" s="19"/>
      <c r="I11" s="20"/>
      <c r="J11" s="20" t="s">
        <v>521</v>
      </c>
    </row>
  </sheetData>
  <mergeCells count="4">
    <mergeCell ref="F1:J1"/>
    <mergeCell ref="A1:E1"/>
    <mergeCell ref="A4:J4"/>
    <mergeCell ref="A2:J2"/>
  </mergeCells>
  <conditionalFormatting sqref="G6:H11">
    <cfRule type="cellIs" dxfId="5" priority="1" operator="equal">
      <formula>"OK"</formula>
    </cfRule>
    <cfRule type="cellIs" dxfId="4" priority="2" operator="equal">
      <formula>"KO"</formula>
    </cfRule>
    <cfRule type="cellIs" dxfId="3" priority="3" operator="equal">
      <formula>"Bloqué"</formula>
    </cfRule>
  </conditionalFormatting>
  <dataValidations count="1">
    <dataValidation type="list" allowBlank="1" sqref="H6:H11" xr:uid="{00000000-0002-0000-0D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5" customWidth="1"/>
    <col min="3" max="3" width="24" customWidth="1"/>
    <col min="4" max="4" width="34" customWidth="1"/>
    <col min="5" max="5" width="36" customWidth="1"/>
    <col min="6" max="6" width="7" customWidth="1"/>
    <col min="7" max="8" width="9" customWidth="1"/>
    <col min="9" max="9" width="12" customWidth="1"/>
    <col min="10" max="10" width="22" customWidth="1"/>
  </cols>
  <sheetData>
    <row r="1" spans="1:10" ht="18" x14ac:dyDescent="0.25">
      <c r="A1" s="26" t="s">
        <v>522</v>
      </c>
      <c r="B1" s="27"/>
      <c r="C1" s="27"/>
      <c r="D1" s="27"/>
      <c r="E1" s="27"/>
      <c r="F1" s="29" t="s">
        <v>523</v>
      </c>
      <c r="G1" s="27"/>
      <c r="H1" s="27"/>
      <c r="I1" s="27"/>
      <c r="J1" s="27"/>
    </row>
    <row r="2" spans="1:10" x14ac:dyDescent="0.25">
      <c r="A2" s="31" t="s">
        <v>42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4" t="s">
        <v>4</v>
      </c>
      <c r="B3" s="15">
        <f>COUNTA($A$6:$A$10)</f>
        <v>5</v>
      </c>
      <c r="C3" s="14" t="s">
        <v>5</v>
      </c>
      <c r="D3" s="15">
        <f>COUNTIF($H$6:$H$10,"OK")</f>
        <v>0</v>
      </c>
      <c r="E3" s="14" t="s">
        <v>6</v>
      </c>
      <c r="F3" s="15">
        <f>COUNTIF($H$6:$H$10,"KO")</f>
        <v>0</v>
      </c>
      <c r="G3" s="14" t="s">
        <v>8</v>
      </c>
      <c r="H3" s="15">
        <f>COUNTA($A$6:$A$10)-COUNTA($H$6:$H$10)</f>
        <v>5</v>
      </c>
      <c r="I3" s="14" t="s">
        <v>43</v>
      </c>
      <c r="J3" s="15" t="str">
        <f>COUNTIF($G$6:$G$10,"OK")&amp;" / "&amp;COUNTIF($G$6:$G$10,"KO")</f>
        <v>4 / 0</v>
      </c>
    </row>
    <row r="4" spans="1:10" x14ac:dyDescent="0.25">
      <c r="A4" s="30" t="s">
        <v>44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24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</row>
    <row r="6" spans="1:10" ht="22.5" x14ac:dyDescent="0.25">
      <c r="A6" s="16">
        <v>1</v>
      </c>
      <c r="B6" s="17" t="s">
        <v>524</v>
      </c>
      <c r="C6" s="18" t="s">
        <v>525</v>
      </c>
      <c r="D6" s="17" t="s">
        <v>526</v>
      </c>
      <c r="E6" s="17" t="s">
        <v>527</v>
      </c>
      <c r="F6" s="16" t="s">
        <v>59</v>
      </c>
      <c r="G6" s="24" t="s">
        <v>5</v>
      </c>
      <c r="H6" s="19"/>
      <c r="I6" s="20"/>
      <c r="J6" s="20"/>
    </row>
    <row r="7" spans="1:10" ht="22.5" x14ac:dyDescent="0.25">
      <c r="A7" s="21">
        <v>2</v>
      </c>
      <c r="B7" s="22" t="s">
        <v>528</v>
      </c>
      <c r="C7" s="23" t="s">
        <v>529</v>
      </c>
      <c r="D7" s="22" t="s">
        <v>530</v>
      </c>
      <c r="E7" s="22" t="s">
        <v>531</v>
      </c>
      <c r="F7" s="21" t="s">
        <v>92</v>
      </c>
      <c r="G7" s="25" t="s">
        <v>5</v>
      </c>
      <c r="H7" s="19"/>
      <c r="I7" s="20"/>
      <c r="J7" s="20"/>
    </row>
    <row r="8" spans="1:10" ht="22.5" x14ac:dyDescent="0.25">
      <c r="A8" s="16">
        <v>3</v>
      </c>
      <c r="B8" s="17" t="s">
        <v>532</v>
      </c>
      <c r="C8" s="18" t="s">
        <v>533</v>
      </c>
      <c r="D8" s="17" t="s">
        <v>534</v>
      </c>
      <c r="E8" s="17" t="s">
        <v>535</v>
      </c>
      <c r="F8" s="16" t="s">
        <v>92</v>
      </c>
      <c r="G8" s="16" t="s">
        <v>60</v>
      </c>
      <c r="H8" s="19"/>
      <c r="I8" s="20"/>
      <c r="J8" s="20"/>
    </row>
    <row r="9" spans="1:10" x14ac:dyDescent="0.25">
      <c r="A9" s="21">
        <v>4</v>
      </c>
      <c r="B9" s="22" t="s">
        <v>536</v>
      </c>
      <c r="C9" s="23" t="s">
        <v>537</v>
      </c>
      <c r="D9" s="22" t="s">
        <v>538</v>
      </c>
      <c r="E9" s="22" t="s">
        <v>539</v>
      </c>
      <c r="F9" s="21" t="s">
        <v>70</v>
      </c>
      <c r="G9" s="25" t="s">
        <v>5</v>
      </c>
      <c r="H9" s="19"/>
      <c r="I9" s="20"/>
      <c r="J9" s="20"/>
    </row>
    <row r="10" spans="1:10" ht="22.5" x14ac:dyDescent="0.25">
      <c r="A10" s="16">
        <v>5</v>
      </c>
      <c r="B10" s="17" t="s">
        <v>540</v>
      </c>
      <c r="C10" s="18" t="s">
        <v>541</v>
      </c>
      <c r="D10" s="17" t="s">
        <v>542</v>
      </c>
      <c r="E10" s="17" t="s">
        <v>543</v>
      </c>
      <c r="F10" s="16" t="s">
        <v>70</v>
      </c>
      <c r="G10" s="24" t="s">
        <v>5</v>
      </c>
      <c r="H10" s="19"/>
      <c r="I10" s="20"/>
      <c r="J10" s="20"/>
    </row>
  </sheetData>
  <mergeCells count="4">
    <mergeCell ref="F1:J1"/>
    <mergeCell ref="A1:E1"/>
    <mergeCell ref="A4:J4"/>
    <mergeCell ref="A2:J2"/>
  </mergeCells>
  <conditionalFormatting sqref="G6:H10">
    <cfRule type="cellIs" dxfId="2" priority="1" operator="equal">
      <formula>"OK"</formula>
    </cfRule>
    <cfRule type="cellIs" dxfId="1" priority="2" operator="equal">
      <formula>"KO"</formula>
    </cfRule>
    <cfRule type="cellIs" dxfId="0" priority="3" operator="equal">
      <formula>"Bloqué"</formula>
    </cfRule>
  </conditionalFormatting>
  <dataValidations count="1">
    <dataValidation type="list" allowBlank="1" sqref="H6:H10" xr:uid="{00000000-0002-0000-0E00-000000000000}">
      <formula1>"OK,KO,Bloqué,N/A"</formula1>
    </dataValidation>
  </dataValidations>
  <printOptions horizontalCentered="1"/>
  <pageMargins left="0.25" right="0.25" top="0.3" bottom="0.3" header="0.12" footer="0.12"/>
  <pageSetup paperSize="9" orientation="landscape"/>
  <headerFooter>
    <oddFooter>&amp;L&amp;7 &amp;A&amp;R&amp;7 Cahier de recette · integration/recette-2026-10-29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15</vt:i4>
      </vt:variant>
    </vt:vector>
  </HeadingPairs>
  <TitlesOfParts>
    <vt:vector size="30" baseType="lpstr">
      <vt:lpstr>Synthèse</vt:lpstr>
      <vt:lpstr>Connexion et sécurité</vt:lpstr>
      <vt:lpstr>Ventes</vt:lpstr>
      <vt:lpstr>Caisse et gestion courante</vt:lpstr>
      <vt:lpstr>Facturation et différés</vt:lpstr>
      <vt:lpstr>Tiers-payants et clients</vt:lpstr>
      <vt:lpstr>Commandes et PharmaML</vt:lpstr>
      <vt:lpstr>Stock</vt:lpstr>
      <vt:lpstr>Étiquettes</vt:lpstr>
      <vt:lpstr>Analyse et pilotage</vt:lpstr>
      <vt:lpstr>Campagnes et avis clients</vt:lpstr>
      <vt:lpstr>Ressources humaines</vt:lpstr>
      <vt:lpstr>Support et serveur</vt:lpstr>
      <vt:lpstr>Performances et charge</vt:lpstr>
      <vt:lpstr>Éditions et modèles</vt:lpstr>
      <vt:lpstr>'Analyse et pilotage'!Zone_d_impression</vt:lpstr>
      <vt:lpstr>'Caisse et gestion courante'!Zone_d_impression</vt:lpstr>
      <vt:lpstr>'Campagnes et avis clients'!Zone_d_impression</vt:lpstr>
      <vt:lpstr>'Commandes et PharmaML'!Zone_d_impression</vt:lpstr>
      <vt:lpstr>'Connexion et sécurité'!Zone_d_impression</vt:lpstr>
      <vt:lpstr>'Éditions et modèles'!Zone_d_impression</vt:lpstr>
      <vt:lpstr>Étiquettes!Zone_d_impression</vt:lpstr>
      <vt:lpstr>'Facturation et différés'!Zone_d_impression</vt:lpstr>
      <vt:lpstr>'Performances et charge'!Zone_d_impression</vt:lpstr>
      <vt:lpstr>'Ressources humaines'!Zone_d_impression</vt:lpstr>
      <vt:lpstr>Stock!Zone_d_impression</vt:lpstr>
      <vt:lpstr>'Support et serveur'!Zone_d_impression</vt:lpstr>
      <vt:lpstr>Synthèse!Zone_d_impression</vt:lpstr>
      <vt:lpstr>'Tiers-payants et clients'!Zone_d_impression</vt:lpstr>
      <vt:lpstr>Ventes!Zone_d_impression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FRANCK HERMANN N'ZI</cp:lastModifiedBy>
  <dcterms:created xsi:type="dcterms:W3CDTF">2026-10-30T00:12:47Z</dcterms:created>
  <dcterms:modified xsi:type="dcterms:W3CDTF">2026-10-30T00:12:49Z</dcterms:modified>
</cp:coreProperties>
</file>