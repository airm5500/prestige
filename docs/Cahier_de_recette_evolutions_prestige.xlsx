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ette" sheetId="2" state="visible" r:id="rId2"/>
  </sheets>
  <definedNames>
    <definedName name="_xlnm._FilterDatabase" localSheetId="1" hidden="1">'Recette'!$A$1:$K$57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2E5496"/>
      <sz val="10"/>
    </font>
    <font>
      <b val="1"/>
      <color rgb="001F3864"/>
    </font>
    <font>
      <b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52" customWidth="1" min="3" max="3"/>
    <col width="10" customWidth="1" min="4" max="4"/>
    <col width="8" customWidth="1" min="5" max="5"/>
    <col width="8" customWidth="1" min="6" max="6"/>
    <col width="14" customWidth="1" min="7" max="7"/>
    <col width="14" customWidth="1" min="8" max="8"/>
  </cols>
  <sheetData>
    <row r="2">
      <c r="B2" s="1" t="inlineStr">
        <is>
          <t>CAHIER DE RECETTE — Évolutions Prestige</t>
        </is>
      </c>
    </row>
    <row r="3">
      <c r="B3" s="2" t="inlineStr">
        <is>
          <t>Application pharmacie Prestige — branche claude/evolution-branch-setup-fs37ds</t>
        </is>
      </c>
    </row>
    <row r="5">
      <c r="B5" s="3" t="inlineStr">
        <is>
          <t>Projet</t>
        </is>
      </c>
      <c r="C5" s="4" t="inlineStr">
        <is>
          <t>Prestige — Lot d'évolutions (12 points)</t>
        </is>
      </c>
      <c r="D5" s="5" t="n"/>
      <c r="E5" s="5" t="n"/>
      <c r="F5" s="5" t="n"/>
      <c r="G5" s="5" t="n"/>
      <c r="H5" s="5" t="n"/>
    </row>
    <row r="6">
      <c r="B6" s="3" t="inlineStr">
        <is>
          <t>Version / Branche</t>
        </is>
      </c>
      <c r="C6" s="4" t="inlineStr">
        <is>
          <t>claude/evolution-branch-setup-fs37ds</t>
        </is>
      </c>
      <c r="D6" s="5" t="n"/>
      <c r="E6" s="5" t="n"/>
      <c r="F6" s="5" t="n"/>
      <c r="G6" s="5" t="n"/>
      <c r="H6" s="5" t="n"/>
    </row>
    <row r="7">
      <c r="B7" s="3" t="inlineStr">
        <is>
          <t>Date de recette</t>
        </is>
      </c>
      <c r="C7" s="4" t="inlineStr"/>
      <c r="D7" s="5" t="n"/>
      <c r="E7" s="5" t="n"/>
      <c r="F7" s="5" t="n"/>
      <c r="G7" s="5" t="n"/>
      <c r="H7" s="5" t="n"/>
    </row>
    <row r="8">
      <c r="B8" s="3" t="inlineStr">
        <is>
          <t>Testeur</t>
        </is>
      </c>
      <c r="C8" s="4" t="inlineStr"/>
      <c r="D8" s="5" t="n"/>
      <c r="E8" s="5" t="n"/>
      <c r="F8" s="5" t="n"/>
      <c r="G8" s="5" t="n"/>
      <c r="H8" s="5" t="n"/>
    </row>
    <row r="9">
      <c r="B9" s="3" t="inlineStr">
        <is>
          <t>Environnement</t>
        </is>
      </c>
      <c r="C9" s="4" t="inlineStr">
        <is>
          <t>Officine / Dépôt — préciser (recette / pré-prod / prod)</t>
        </is>
      </c>
      <c r="D9" s="5" t="n"/>
      <c r="E9" s="5" t="n"/>
      <c r="F9" s="5" t="n"/>
      <c r="G9" s="5" t="n"/>
      <c r="H9" s="5" t="n"/>
    </row>
    <row r="10">
      <c r="B10" s="3" t="inlineStr">
        <is>
          <t>Navigateur</t>
        </is>
      </c>
      <c r="C10" s="4" t="inlineStr"/>
      <c r="D10" s="5" t="n"/>
      <c r="E10" s="5" t="n"/>
      <c r="F10" s="5" t="n"/>
      <c r="G10" s="5" t="n"/>
      <c r="H10" s="5" t="n"/>
    </row>
    <row r="11">
      <c r="B11" s="3" t="inlineStr">
        <is>
          <t>Statut global</t>
        </is>
      </c>
      <c r="C11" s="4" t="inlineStr"/>
      <c r="D11" s="5" t="n"/>
      <c r="E11" s="5" t="n"/>
      <c r="F11" s="5" t="n"/>
      <c r="G11" s="5" t="n"/>
      <c r="H11" s="5" t="n"/>
    </row>
    <row r="13">
      <c r="B13" s="6" t="inlineStr">
        <is>
          <t>LÉGENDE STATUT</t>
        </is>
      </c>
    </row>
    <row r="14">
      <c r="B14" s="7" t="inlineStr">
        <is>
          <t>OK</t>
        </is>
      </c>
      <c r="C14" s="4" t="inlineStr">
        <is>
          <t>Conforme au résultat attendu</t>
        </is>
      </c>
      <c r="D14" s="5" t="n"/>
      <c r="E14" s="5" t="n"/>
      <c r="F14" s="5" t="n"/>
      <c r="G14" s="5" t="n"/>
      <c r="H14" s="5" t="n"/>
    </row>
    <row r="15">
      <c r="B15" s="8" t="inlineStr">
        <is>
          <t>KO</t>
        </is>
      </c>
      <c r="C15" s="4" t="inlineStr">
        <is>
          <t>Non conforme / anomalie</t>
        </is>
      </c>
      <c r="D15" s="5" t="n"/>
      <c r="E15" s="5" t="n"/>
      <c r="F15" s="5" t="n"/>
      <c r="G15" s="5" t="n"/>
      <c r="H15" s="5" t="n"/>
    </row>
    <row r="16">
      <c r="B16" s="9" t="inlineStr">
        <is>
          <t>Bloqué</t>
        </is>
      </c>
      <c r="C16" s="4" t="inlineStr">
        <is>
          <t>Test non exécutable (dépendance/pré-requis)</t>
        </is>
      </c>
      <c r="D16" s="5" t="n"/>
      <c r="E16" s="5" t="n"/>
      <c r="F16" s="5" t="n"/>
      <c r="G16" s="5" t="n"/>
      <c r="H16" s="5" t="n"/>
    </row>
    <row r="17">
      <c r="B17" s="10" t="inlineStr">
        <is>
          <t>N/A</t>
        </is>
      </c>
      <c r="C17" s="4" t="inlineStr">
        <is>
          <t>Non applicable dans ce contexte</t>
        </is>
      </c>
      <c r="D17" s="5" t="n"/>
      <c r="E17" s="5" t="n"/>
      <c r="F17" s="5" t="n"/>
      <c r="G17" s="5" t="n"/>
      <c r="H17" s="5" t="n"/>
    </row>
    <row r="19">
      <c r="B19" s="6" t="inlineStr">
        <is>
          <t>PRÉ-REQUIS &amp; POINTS D'ATTENTION</t>
        </is>
      </c>
    </row>
    <row r="20" ht="30" customHeight="1">
      <c r="B20" s="4" t="inlineStr">
        <is>
          <t>•  Recompiler et déployer le back-end (build Maven habituel) : modifications Java sur grossiste, articles invendus, valorisation, suivi UG.</t>
        </is>
      </c>
      <c r="C20" s="5" t="n"/>
      <c r="D20" s="5" t="n"/>
      <c r="E20" s="5" t="n"/>
      <c r="F20" s="5" t="n"/>
      <c r="G20" s="5" t="n"/>
      <c r="H20" s="5" t="n"/>
    </row>
    <row r="21" ht="30" customHeight="1">
      <c r="B21" s="4" t="inlineStr">
        <is>
          <t>•  Point 1 (Evolution Stock) : ajouter le sous-menu « Evolution Stock » sous « Gestion du Stock » avec id/xtype = evolutionstock (admin MenuManager / BDD).</t>
        </is>
      </c>
      <c r="C21" s="5" t="n"/>
      <c r="D21" s="5" t="n"/>
      <c r="E21" s="5" t="n"/>
      <c r="F21" s="5" t="n"/>
      <c r="G21" s="5" t="n"/>
      <c r="H21" s="5" t="n"/>
    </row>
    <row r="22" ht="30" customHeight="1">
      <c r="B22" s="4" t="inlineStr">
        <is>
          <t>•  Vider le cache navigateur après déploiement (fichiers JS ExtJS et dashboard.html).</t>
        </is>
      </c>
      <c r="C22" s="5" t="n"/>
      <c r="D22" s="5" t="n"/>
      <c r="E22" s="5" t="n"/>
      <c r="F22" s="5" t="n"/>
      <c r="G22" s="5" t="n"/>
      <c r="H22" s="5" t="n"/>
    </row>
    <row r="23" ht="30" customHeight="1">
      <c r="B23" s="4" t="inlineStr">
        <is>
          <t>•  Se connecter avec un profil Pharmacien pour recetter le point 4 (dashboard d'accueil).</t>
        </is>
      </c>
      <c r="C23" s="5" t="n"/>
      <c r="D23" s="5" t="n"/>
      <c r="E23" s="5" t="n"/>
      <c r="F23" s="5" t="n"/>
      <c r="G23" s="5" t="n"/>
      <c r="H23" s="5" t="n"/>
    </row>
    <row r="24" ht="30" customHeight="1">
      <c r="B24" s="4" t="inlineStr">
        <is>
          <t>•  Disposer d'un jeu de données : grossistes, produits avec stock UG, inventaire, bons de livraison, ventes VO.</t>
        </is>
      </c>
      <c r="C24" s="5" t="n"/>
      <c r="D24" s="5" t="n"/>
      <c r="E24" s="5" t="n"/>
      <c r="F24" s="5" t="n"/>
      <c r="G24" s="5" t="n"/>
      <c r="H24" s="5" t="n"/>
    </row>
    <row r="26">
      <c r="B26" s="6" t="inlineStr">
        <is>
          <t>SYNTHÈSE PAR POINT</t>
        </is>
      </c>
    </row>
    <row r="27">
      <c r="B27" s="11" t="inlineStr">
        <is>
          <t>Point</t>
        </is>
      </c>
      <c r="C27" s="11" t="inlineStr">
        <is>
          <t>Intitulé</t>
        </is>
      </c>
      <c r="D27" s="11" t="inlineStr">
        <is>
          <t>Nb cas</t>
        </is>
      </c>
      <c r="E27" s="11" t="inlineStr">
        <is>
          <t>OK</t>
        </is>
      </c>
      <c r="F27" s="11" t="inlineStr">
        <is>
          <t>KO</t>
        </is>
      </c>
      <c r="G27" s="11" t="inlineStr">
        <is>
          <t>Bloqué / N/A</t>
        </is>
      </c>
    </row>
    <row r="28">
      <c r="B28" s="12" t="inlineStr">
        <is>
          <t>1</t>
        </is>
      </c>
      <c r="C28" s="4" t="inlineStr">
        <is>
          <t>Menu Evolution Stock (courbe valorisation)</t>
        </is>
      </c>
      <c r="D28" s="12">
        <f>COUNTIF(Recette!$B:$B,$B28)</f>
        <v/>
      </c>
      <c r="E28" s="12">
        <f>COUNTIFS(Recette!$B:$B,$B28,Recette!$I:$I,"OK")</f>
        <v/>
      </c>
      <c r="F28" s="12">
        <f>COUNTIFS(Recette!$B:$B,$B28,Recette!$I:$I,"KO")</f>
        <v/>
      </c>
      <c r="G28" s="12">
        <f>COUNTIFS(Recette!$B:$B,$B28,Recette!$I:$I,"Bloqué")+COUNTIFS(Recette!$B:$B,$B28,Recette!$I:$I,"N/A")</f>
        <v/>
      </c>
    </row>
    <row r="29">
      <c r="B29" s="12" t="inlineStr">
        <is>
          <t>2</t>
        </is>
      </c>
      <c r="C29" s="4" t="inlineStr">
        <is>
          <t>Ventes terminées — date future interdite</t>
        </is>
      </c>
      <c r="D29" s="12">
        <f>COUNTIF(Recette!$B:$B,$B29)</f>
        <v/>
      </c>
      <c r="E29" s="12">
        <f>COUNTIFS(Recette!$B:$B,$B29,Recette!$I:$I,"OK")</f>
        <v/>
      </c>
      <c r="F29" s="12">
        <f>COUNTIFS(Recette!$B:$B,$B29,Recette!$I:$I,"KO")</f>
        <v/>
      </c>
      <c r="G29" s="12">
        <f>COUNTIFS(Recette!$B:$B,$B29,Recette!$I:$I,"Bloqué")+COUNTIFS(Recette!$B:$B,$B29,Recette!$I:$I,"N/A")</f>
        <v/>
      </c>
    </row>
    <row r="30">
      <c r="B30" s="12" t="inlineStr">
        <is>
          <t>3</t>
        </is>
      </c>
      <c r="C30" s="4" t="inlineStr">
        <is>
          <t>Gestion des Utilisateurs (titre + IDS/langue)</t>
        </is>
      </c>
      <c r="D30" s="12">
        <f>COUNTIF(Recette!$B:$B,$B30)</f>
        <v/>
      </c>
      <c r="E30" s="12">
        <f>COUNTIFS(Recette!$B:$B,$B30,Recette!$I:$I,"OK")</f>
        <v/>
      </c>
      <c r="F30" s="12">
        <f>COUNTIFS(Recette!$B:$B,$B30,Recette!$I:$I,"KO")</f>
        <v/>
      </c>
      <c r="G30" s="12">
        <f>COUNTIFS(Recette!$B:$B,$B30,Recette!$I:$I,"Bloqué")+COUNTIFS(Recette!$B:$B,$B30,Recette!$I:$I,"N/A")</f>
        <v/>
      </c>
    </row>
    <row r="31">
      <c r="B31" s="12" t="inlineStr">
        <is>
          <t>4</t>
        </is>
      </c>
      <c r="C31" s="4" t="inlineStr">
        <is>
          <t>Dashboard accueil — valorisation + nom pharmacien</t>
        </is>
      </c>
      <c r="D31" s="12">
        <f>COUNTIF(Recette!$B:$B,$B31)</f>
        <v/>
      </c>
      <c r="E31" s="12">
        <f>COUNTIFS(Recette!$B:$B,$B31,Recette!$I:$I,"OK")</f>
        <v/>
      </c>
      <c r="F31" s="12">
        <f>COUNTIFS(Recette!$B:$B,$B31,Recette!$I:$I,"KO")</f>
        <v/>
      </c>
      <c r="G31" s="12">
        <f>COUNTIFS(Recette!$B:$B,$B31,Recette!$I:$I,"Bloqué")+COUNTIFS(Recette!$B:$B,$B31,Recette!$I:$I,"N/A")</f>
        <v/>
      </c>
    </row>
    <row r="32">
      <c r="B32" s="12" t="inlineStr">
        <is>
          <t>5</t>
        </is>
      </c>
      <c r="C32" s="4" t="inlineStr">
        <is>
          <t>Grossiste — colonnes + champs PharmaML</t>
        </is>
      </c>
      <c r="D32" s="12">
        <f>COUNTIF(Recette!$B:$B,$B32)</f>
        <v/>
      </c>
      <c r="E32" s="12">
        <f>COUNTIFS(Recette!$B:$B,$B32,Recette!$I:$I,"OK")</f>
        <v/>
      </c>
      <c r="F32" s="12">
        <f>COUNTIFS(Recette!$B:$B,$B32,Recette!$I:$I,"KO")</f>
        <v/>
      </c>
      <c r="G32" s="12">
        <f>COUNTIFS(Recette!$B:$B,$B32,Recette!$I:$I,"Bloqué")+COUNTIFS(Recette!$B:$B,$B32,Recette!$I:$I,"N/A")</f>
        <v/>
      </c>
    </row>
    <row r="33">
      <c r="B33" s="12" t="inlineStr">
        <is>
          <t>6</t>
        </is>
      </c>
      <c r="C33" s="4" t="inlineStr">
        <is>
          <t>Commande — str_CODE_REMISE = 0</t>
        </is>
      </c>
      <c r="D33" s="12">
        <f>COUNTIF(Recette!$B:$B,$B33)</f>
        <v/>
      </c>
      <c r="E33" s="12">
        <f>COUNTIFS(Recette!$B:$B,$B33,Recette!$I:$I,"OK")</f>
        <v/>
      </c>
      <c r="F33" s="12">
        <f>COUNTIFS(Recette!$B:$B,$B33,Recette!$I:$I,"KO")</f>
        <v/>
      </c>
      <c r="G33" s="12">
        <f>COUNTIFS(Recette!$B:$B,$B33,Recette!$I:$I,"Bloqué")+COUNTIFS(Recette!$B:$B,$B33,Recette!$I:$I,"N/A")</f>
        <v/>
      </c>
    </row>
    <row r="34">
      <c r="B34" s="12" t="inlineStr">
        <is>
          <t>7</t>
        </is>
      </c>
      <c r="C34" s="4" t="inlineStr">
        <is>
          <t>Facturation — mise en évidence ligne survolée</t>
        </is>
      </c>
      <c r="D34" s="12">
        <f>COUNTIF(Recette!$B:$B,$B34)</f>
        <v/>
      </c>
      <c r="E34" s="12">
        <f>COUNTIFS(Recette!$B:$B,$B34,Recette!$I:$I,"OK")</f>
        <v/>
      </c>
      <c r="F34" s="12">
        <f>COUNTIFS(Recette!$B:$B,$B34,Recette!$I:$I,"KO")</f>
        <v/>
      </c>
      <c r="G34" s="12">
        <f>COUNTIFS(Recette!$B:$B,$B34,Recette!$I:$I,"Bloqué")+COUNTIFS(Recette!$B:$B,$B34,Recette!$I:$I,"N/A")</f>
        <v/>
      </c>
    </row>
    <row r="35">
      <c r="B35" s="12" t="inlineStr">
        <is>
          <t>8</t>
        </is>
      </c>
      <c r="C35" s="4" t="inlineStr">
        <is>
          <t>Inventaire — chargement des articles</t>
        </is>
      </c>
      <c r="D35" s="12">
        <f>COUNTIF(Recette!$B:$B,$B35)</f>
        <v/>
      </c>
      <c r="E35" s="12">
        <f>COUNTIFS(Recette!$B:$B,$B35,Recette!$I:$I,"OK")</f>
        <v/>
      </c>
      <c r="F35" s="12">
        <f>COUNTIFS(Recette!$B:$B,$B35,Recette!$I:$I,"KO")</f>
        <v/>
      </c>
      <c r="G35" s="12">
        <f>COUNTIFS(Recette!$B:$B,$B35,Recette!$I:$I,"Bloqué")+COUNTIFS(Recette!$B:$B,$B35,Recette!$I:$I,"N/A")</f>
        <v/>
      </c>
    </row>
    <row r="36">
      <c r="B36" s="12" t="inlineStr">
        <is>
          <t>9</t>
        </is>
      </c>
      <c r="C36" s="4" t="inlineStr">
        <is>
          <t>Entrée stock — confirmation UG + focus recherche</t>
        </is>
      </c>
      <c r="D36" s="12">
        <f>COUNTIF(Recette!$B:$B,$B36)</f>
        <v/>
      </c>
      <c r="E36" s="12">
        <f>COUNTIFS(Recette!$B:$B,$B36,Recette!$I:$I,"OK")</f>
        <v/>
      </c>
      <c r="F36" s="12">
        <f>COUNTIFS(Recette!$B:$B,$B36,Recette!$I:$I,"KO")</f>
        <v/>
      </c>
      <c r="G36" s="12">
        <f>COUNTIFS(Recette!$B:$B,$B36,Recette!$I:$I,"Bloqué")+COUNTIFS(Recette!$B:$B,$B36,Recette!$I:$I,"N/A")</f>
        <v/>
      </c>
    </row>
    <row r="37">
      <c r="B37" s="12" t="inlineStr">
        <is>
          <t>10</t>
        </is>
      </c>
      <c r="C37" s="4" t="inlineStr">
        <is>
          <t>Emplacements — impression portrait</t>
        </is>
      </c>
      <c r="D37" s="12">
        <f>COUNTIF(Recette!$B:$B,$B37)</f>
        <v/>
      </c>
      <c r="E37" s="12">
        <f>COUNTIFS(Recette!$B:$B,$B37,Recette!$I:$I,"OK")</f>
        <v/>
      </c>
      <c r="F37" s="12">
        <f>COUNTIFS(Recette!$B:$B,$B37,Recette!$I:$I,"KO")</f>
        <v/>
      </c>
      <c r="G37" s="12">
        <f>COUNTIFS(Recette!$B:$B,$B37,Recette!$I:$I,"Bloqué")+COUNTIFS(Recette!$B:$B,$B37,Recette!$I:$I,"N/A")</f>
        <v/>
      </c>
    </row>
    <row r="38">
      <c r="B38" s="12" t="inlineStr">
        <is>
          <t>11</t>
        </is>
      </c>
      <c r="C38" s="4" t="inlineStr">
        <is>
          <t>Articles invendus — date dernière entrée + filtre mois</t>
        </is>
      </c>
      <c r="D38" s="12">
        <f>COUNTIF(Recette!$B:$B,$B38)</f>
        <v/>
      </c>
      <c r="E38" s="12">
        <f>COUNTIFS(Recette!$B:$B,$B38,Recette!$I:$I,"OK")</f>
        <v/>
      </c>
      <c r="F38" s="12">
        <f>COUNTIFS(Recette!$B:$B,$B38,Recette!$I:$I,"KO")</f>
        <v/>
      </c>
      <c r="G38" s="12">
        <f>COUNTIFS(Recette!$B:$B,$B38,Recette!$I:$I,"Bloqué")+COUNTIFS(Recette!$B:$B,$B38,Recette!$I:$I,"N/A")</f>
        <v/>
      </c>
    </row>
    <row r="39">
      <c r="B39" s="12" t="inlineStr">
        <is>
          <t>12</t>
        </is>
      </c>
      <c r="C39" s="4" t="inlineStr">
        <is>
          <t>Unités gratuites — 2 onglets + Suivi UG</t>
        </is>
      </c>
      <c r="D39" s="12">
        <f>COUNTIF(Recette!$B:$B,$B39)</f>
        <v/>
      </c>
      <c r="E39" s="12">
        <f>COUNTIFS(Recette!$B:$B,$B39,Recette!$I:$I,"OK")</f>
        <v/>
      </c>
      <c r="F39" s="12">
        <f>COUNTIFS(Recette!$B:$B,$B39,Recette!$I:$I,"KO")</f>
        <v/>
      </c>
      <c r="G39" s="12">
        <f>COUNTIFS(Recette!$B:$B,$B39,Recette!$I:$I,"Bloqué")+COUNTIFS(Recette!$B:$B,$B39,Recette!$I:$I,"N/A")</f>
        <v/>
      </c>
    </row>
    <row r="40">
      <c r="B40" s="13" t="n"/>
      <c r="C40" s="14" t="inlineStr">
        <is>
          <t>TOTAL</t>
        </is>
      </c>
      <c r="D40" s="15">
        <f>SUM(D28:D39)</f>
        <v/>
      </c>
      <c r="E40" s="15">
        <f>SUM(E28:E39)</f>
        <v/>
      </c>
      <c r="F40" s="15">
        <f>SUM(F28:F39)</f>
        <v/>
      </c>
      <c r="G40" s="15">
        <f>SUM(G28:G39)</f>
        <v/>
      </c>
    </row>
  </sheetData>
  <mergeCells count="18">
    <mergeCell ref="C11:H11"/>
    <mergeCell ref="C6:H6"/>
    <mergeCell ref="C10:H10"/>
    <mergeCell ref="C16:H16"/>
    <mergeCell ref="B22:H22"/>
    <mergeCell ref="B23:H23"/>
    <mergeCell ref="C14:H14"/>
    <mergeCell ref="C5:H5"/>
    <mergeCell ref="B21:H21"/>
    <mergeCell ref="C9:H9"/>
    <mergeCell ref="B24:H24"/>
    <mergeCell ref="B2:H2"/>
    <mergeCell ref="C8:H8"/>
    <mergeCell ref="C17:H17"/>
    <mergeCell ref="B3:H3"/>
    <mergeCell ref="B20:H20"/>
    <mergeCell ref="C7:H7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6" customWidth="1" min="3" max="3"/>
    <col width="12" customWidth="1" min="4" max="4"/>
    <col width="26" customWidth="1" min="5" max="5"/>
    <col width="46" customWidth="1" min="6" max="6"/>
    <col width="50" customWidth="1" min="7" max="7"/>
    <col width="26" customWidth="1" min="8" max="8"/>
    <col width="11" customWidth="1" min="9" max="9"/>
    <col width="12" customWidth="1" min="10" max="10"/>
    <col width="30" customWidth="1" min="11" max="11"/>
  </cols>
  <sheetData>
    <row r="1">
      <c r="A1" s="16" t="inlineStr">
        <is>
          <t>N°</t>
        </is>
      </c>
      <c r="B1" s="16" t="inlineStr">
        <is>
          <t>Point</t>
        </is>
      </c>
      <c r="C1" s="16" t="inlineStr">
        <is>
          <t>Fonctionnalité</t>
        </is>
      </c>
      <c r="D1" s="16" t="inlineStr">
        <is>
          <t>Type</t>
        </is>
      </c>
      <c r="E1" s="16" t="inlineStr">
        <is>
          <t>Pré-requis</t>
        </is>
      </c>
      <c r="F1" s="16" t="inlineStr">
        <is>
          <t>Étapes de test</t>
        </is>
      </c>
      <c r="G1" s="16" t="inlineStr">
        <is>
          <t>Résultat attendu</t>
        </is>
      </c>
      <c r="H1" s="16" t="inlineStr">
        <is>
          <t>Résultat obtenu</t>
        </is>
      </c>
      <c r="I1" s="16" t="inlineStr">
        <is>
          <t>Statut</t>
        </is>
      </c>
      <c r="J1" s="16" t="inlineStr">
        <is>
          <t>Sévérité</t>
        </is>
      </c>
      <c r="K1" s="16" t="inlineStr">
        <is>
          <t>Commentaire / Anomalie</t>
        </is>
      </c>
    </row>
    <row r="2" ht="58" customHeight="1">
      <c r="A2" s="12" t="inlineStr">
        <is>
          <t>R1-01</t>
        </is>
      </c>
      <c r="B2" s="12" t="inlineStr">
        <is>
          <t>1</t>
        </is>
      </c>
      <c r="C2" s="4" t="inlineStr">
        <is>
          <t>Ouverture de l'écran</t>
        </is>
      </c>
      <c r="D2" s="17" t="inlineStr">
        <is>
          <t>Nominal</t>
        </is>
      </c>
      <c r="E2" s="4" t="inlineStr">
        <is>
          <t>Sous-menu evolutionstock ajouté</t>
        </is>
      </c>
      <c r="F2" s="4" t="inlineStr">
        <is>
          <t>Menu Gestion du Stock → Evolution Stock.</t>
        </is>
      </c>
      <c r="G2" s="4" t="inlineStr">
        <is>
          <t>L'écran s'ouvre avec 2 champs date (Du = J-30, Au = aujourd'hui), boutons Rechercher et Imprimer, une courbe et une grille.</t>
        </is>
      </c>
      <c r="H2" s="4" t="inlineStr"/>
      <c r="I2" s="12" t="inlineStr"/>
      <c r="J2" s="12" t="inlineStr"/>
      <c r="K2" s="4" t="inlineStr"/>
    </row>
    <row r="3" ht="58" customHeight="1">
      <c r="A3" s="12" t="inlineStr">
        <is>
          <t>R1-02</t>
        </is>
      </c>
      <c r="B3" s="12" t="inlineStr">
        <is>
          <t>1</t>
        </is>
      </c>
      <c r="C3" s="4" t="inlineStr">
        <is>
          <t>Recherche période</t>
        </is>
      </c>
      <c r="D3" s="17" t="inlineStr">
        <is>
          <t>Nominal</t>
        </is>
      </c>
      <c r="E3" s="4" t="inlineStr">
        <is>
          <t>Écran ouvert</t>
        </is>
      </c>
      <c r="F3" s="4" t="inlineStr">
        <is>
          <t>Saisir Du et Au sur une période avec données, cliquer Rechercher.</t>
        </is>
      </c>
      <c r="G3" s="4" t="inlineStr">
        <is>
          <t>La courbe (valeur d'achat) et la grille (Date, Valeur d'achat, Valeur de vente) se remplissent ; la valeur d'achat moyenne s'affiche.</t>
        </is>
      </c>
      <c r="H3" s="4" t="inlineStr"/>
      <c r="I3" s="12" t="inlineStr"/>
      <c r="J3" s="12" t="inlineStr"/>
      <c r="K3" s="4" t="inlineStr"/>
    </row>
    <row r="4" ht="58" customHeight="1">
      <c r="A4" s="12" t="inlineStr">
        <is>
          <t>R1-03</t>
        </is>
      </c>
      <c r="B4" s="12" t="inlineStr">
        <is>
          <t>1</t>
        </is>
      </c>
      <c r="C4" s="4" t="inlineStr">
        <is>
          <t>Tooltip courbe</t>
        </is>
      </c>
      <c r="D4" s="17" t="inlineStr">
        <is>
          <t>Nominal</t>
        </is>
      </c>
      <c r="E4" s="4" t="inlineStr">
        <is>
          <t>Recherche effectuée</t>
        </is>
      </c>
      <c r="F4" s="4" t="inlineStr">
        <is>
          <t>Survoler un point de la courbe.</t>
        </is>
      </c>
      <c r="G4" s="4" t="inlineStr">
        <is>
          <t>Une infobulle affiche la date et la valeur d'achat du point.</t>
        </is>
      </c>
      <c r="H4" s="4" t="inlineStr"/>
      <c r="I4" s="12" t="inlineStr"/>
      <c r="J4" s="12" t="inlineStr"/>
      <c r="K4" s="4" t="inlineStr"/>
    </row>
    <row r="5" ht="58" customHeight="1">
      <c r="A5" s="12" t="inlineStr">
        <is>
          <t>R1-04</t>
        </is>
      </c>
      <c r="B5" s="12" t="inlineStr">
        <is>
          <t>1</t>
        </is>
      </c>
      <c r="C5" s="4" t="inlineStr">
        <is>
          <t>Validation dtStart&lt;=dtEnd</t>
        </is>
      </c>
      <c r="D5" s="18" t="inlineStr">
        <is>
          <t>Limite</t>
        </is>
      </c>
      <c r="E5" s="4" t="inlineStr">
        <is>
          <t>Écran ouvert</t>
        </is>
      </c>
      <c r="F5" s="4" t="inlineStr">
        <is>
          <t>Mettre Du postérieur à Au, cliquer Rechercher.</t>
        </is>
      </c>
      <c r="G5" s="4" t="inlineStr">
        <is>
          <t>Message « La date de début doit être antérieure ou égale à la date de fin » ; aucun chargement.</t>
        </is>
      </c>
      <c r="H5" s="4" t="inlineStr"/>
      <c r="I5" s="12" t="inlineStr"/>
      <c r="J5" s="12" t="inlineStr"/>
      <c r="K5" s="4" t="inlineStr"/>
    </row>
    <row r="6" ht="58" customHeight="1">
      <c r="A6" s="12" t="inlineStr">
        <is>
          <t>R1-05</t>
        </is>
      </c>
      <c r="B6" s="12" t="inlineStr">
        <is>
          <t>1</t>
        </is>
      </c>
      <c r="C6" s="4" t="inlineStr">
        <is>
          <t>Dates obligatoires</t>
        </is>
      </c>
      <c r="D6" s="18" t="inlineStr">
        <is>
          <t>Limite</t>
        </is>
      </c>
      <c r="E6" s="4" t="inlineStr">
        <is>
          <t>Écran ouvert</t>
        </is>
      </c>
      <c r="F6" s="4" t="inlineStr">
        <is>
          <t>Vider une des deux dates, cliquer Rechercher.</t>
        </is>
      </c>
      <c r="G6" s="4" t="inlineStr">
        <is>
          <t>Message d'information demandant de renseigner les deux dates.</t>
        </is>
      </c>
      <c r="H6" s="4" t="inlineStr"/>
      <c r="I6" s="12" t="inlineStr"/>
      <c r="J6" s="12" t="inlineStr"/>
      <c r="K6" s="4" t="inlineStr"/>
    </row>
    <row r="7" ht="58" customHeight="1">
      <c r="A7" s="12" t="inlineStr">
        <is>
          <t>R1-06</t>
        </is>
      </c>
      <c r="B7" s="12" t="inlineStr">
        <is>
          <t>1</t>
        </is>
      </c>
      <c r="C7" s="4" t="inlineStr">
        <is>
          <t>Impression</t>
        </is>
      </c>
      <c r="D7" s="17" t="inlineStr">
        <is>
          <t>Nominal</t>
        </is>
      </c>
      <c r="E7" s="4" t="inlineStr">
        <is>
          <t>Recherche effectuée</t>
        </is>
      </c>
      <c r="F7" s="4" t="inlineStr">
        <is>
          <t>Cliquer Imprimer.</t>
        </is>
      </c>
      <c r="G7" s="4" t="inlineStr">
        <is>
          <t>Fenêtre imprimable portrait avec titre, période et tableau (date, valeur achat, valeur vente).</t>
        </is>
      </c>
      <c r="H7" s="4" t="inlineStr"/>
      <c r="I7" s="12" t="inlineStr"/>
      <c r="J7" s="12" t="inlineStr"/>
      <c r="K7" s="4" t="inlineStr"/>
    </row>
    <row r="8" ht="58" customHeight="1">
      <c r="A8" s="12" t="inlineStr">
        <is>
          <t>R1-07</t>
        </is>
      </c>
      <c r="B8" s="12" t="inlineStr">
        <is>
          <t>1</t>
        </is>
      </c>
      <c r="C8" s="4" t="inlineStr">
        <is>
          <t>API retourne la date</t>
        </is>
      </c>
      <c r="D8" s="17" t="inlineStr">
        <is>
          <t>Nominal</t>
        </is>
      </c>
      <c r="E8" s="4" t="inlineStr">
        <is>
          <t>-</t>
        </is>
      </c>
      <c r="F8" s="4" t="inlineStr">
        <is>
          <t>Vérifier la réponse de ../api/v1/valorisation/all (console réseau).</t>
        </is>
      </c>
      <c r="G8" s="4" t="inlineStr">
        <is>
          <t>Chaque élément contient un champ « date » (format AAAA-MM-JJ) en plus de valeurAchat/valeurVente.</t>
        </is>
      </c>
      <c r="H8" s="4" t="inlineStr"/>
      <c r="I8" s="12" t="inlineStr"/>
      <c r="J8" s="12" t="inlineStr"/>
      <c r="K8" s="4" t="inlineStr"/>
    </row>
    <row r="9" ht="58" customHeight="1">
      <c r="A9" s="12" t="inlineStr">
        <is>
          <t>R2-01</t>
        </is>
      </c>
      <c r="B9" s="12" t="inlineStr">
        <is>
          <t>2</t>
        </is>
      </c>
      <c r="C9" s="4" t="inlineStr">
        <is>
          <t>Ouverture modif date</t>
        </is>
      </c>
      <c r="D9" s="17" t="inlineStr">
        <is>
          <t>Nominal</t>
        </is>
      </c>
      <c r="E9" s="4" t="inlineStr">
        <is>
          <t>Une vente VO existante</t>
        </is>
      </c>
      <c r="F9" s="4" t="inlineStr">
        <is>
          <t>Ventes terminées → clic « Modifier la date » sur une vente éligible.</t>
        </is>
      </c>
      <c r="G9" s="4" t="inlineStr">
        <is>
          <t>La fenêtre « Modification de la date de vente » s'ouvre.</t>
        </is>
      </c>
      <c r="H9" s="4" t="inlineStr"/>
      <c r="I9" s="12" t="inlineStr"/>
      <c r="J9" s="12" t="inlineStr"/>
      <c r="K9" s="4" t="inlineStr"/>
    </row>
    <row r="10" ht="58" customHeight="1">
      <c r="A10" s="12" t="inlineStr">
        <is>
          <t>R2-02</t>
        </is>
      </c>
      <c r="B10" s="12" t="inlineStr">
        <is>
          <t>2</t>
        </is>
      </c>
      <c r="C10" s="4" t="inlineStr">
        <is>
          <t>Date future interdite</t>
        </is>
      </c>
      <c r="D10" s="18" t="inlineStr">
        <is>
          <t>Limite</t>
        </is>
      </c>
      <c r="E10" s="4" t="inlineStr">
        <is>
          <t>Fenêtre ouverte</t>
        </is>
      </c>
      <c r="F10" s="4" t="inlineStr">
        <is>
          <t>Sélectionner une date supérieure à aujourd'hui.</t>
        </is>
      </c>
      <c r="G10" s="4" t="inlineStr">
        <is>
          <t>Le champ passe en erreur (« La date ne doit pas dépasser la date du jour ») ; enregistrement bloqué.</t>
        </is>
      </c>
      <c r="H10" s="4" t="inlineStr"/>
      <c r="I10" s="12" t="inlineStr"/>
      <c r="J10" s="12" t="inlineStr"/>
      <c r="K10" s="4" t="inlineStr"/>
    </row>
    <row r="11" ht="58" customHeight="1">
      <c r="A11" s="12" t="inlineStr">
        <is>
          <t>R2-03</t>
        </is>
      </c>
      <c r="B11" s="12" t="inlineStr">
        <is>
          <t>2</t>
        </is>
      </c>
      <c r="C11" s="4" t="inlineStr">
        <is>
          <t>Date du jour/passée</t>
        </is>
      </c>
      <c r="D11" s="17" t="inlineStr">
        <is>
          <t>Nominal</t>
        </is>
      </c>
      <c r="E11" s="4" t="inlineStr">
        <is>
          <t>Fenêtre ouverte</t>
        </is>
      </c>
      <c r="F11" s="4" t="inlineStr">
        <is>
          <t>Sélectionner aujourd'hui ou une date passée + heure, Enregistrer.</t>
        </is>
      </c>
      <c r="G11" s="4" t="inlineStr">
        <is>
          <t>Enregistrement accepté ; proposition d'impression du ticket.</t>
        </is>
      </c>
      <c r="H11" s="4" t="inlineStr"/>
      <c r="I11" s="12" t="inlineStr"/>
      <c r="J11" s="12" t="inlineStr"/>
      <c r="K11" s="4" t="inlineStr"/>
    </row>
    <row r="12" ht="58" customHeight="1">
      <c r="A12" s="12" t="inlineStr">
        <is>
          <t>R2-04</t>
        </is>
      </c>
      <c r="B12" s="12" t="inlineStr">
        <is>
          <t>2</t>
        </is>
      </c>
      <c r="C12" s="4" t="inlineStr">
        <is>
          <t>Non-régression</t>
        </is>
      </c>
      <c r="D12" s="19" t="inlineStr">
        <is>
          <t>Régression</t>
        </is>
      </c>
      <c r="E12" s="4" t="inlineStr">
        <is>
          <t>-</t>
        </is>
      </c>
      <c r="F12" s="4" t="inlineStr">
        <is>
          <t>Rejouer la modification de date complète (heure, enregistrement, impression).</t>
        </is>
      </c>
      <c r="G12" s="4" t="inlineStr">
        <is>
          <t>Comportement identique à l'existant, hormis le blocage des dates futures.</t>
        </is>
      </c>
      <c r="H12" s="4" t="inlineStr"/>
      <c r="I12" s="12" t="inlineStr"/>
      <c r="J12" s="12" t="inlineStr"/>
      <c r="K12" s="4" t="inlineStr"/>
    </row>
    <row r="13" ht="58" customHeight="1">
      <c r="A13" s="12" t="inlineStr">
        <is>
          <t>R3-01</t>
        </is>
      </c>
      <c r="B13" s="12" t="inlineStr">
        <is>
          <t>3</t>
        </is>
      </c>
      <c r="C13" s="4" t="inlineStr">
        <is>
          <t>Titre écran</t>
        </is>
      </c>
      <c r="D13" s="17" t="inlineStr">
        <is>
          <t>Nominal</t>
        </is>
      </c>
      <c r="E13" s="4" t="inlineStr">
        <is>
          <t>-</t>
        </is>
      </c>
      <c r="F13" s="4" t="inlineStr">
        <is>
          <t>Ouvrir la gestion des utilisateurs.</t>
        </is>
      </c>
      <c r="G13" s="4" t="inlineStr">
        <is>
          <t>Le titre affiché est « Gestion des Utilisateurs ».</t>
        </is>
      </c>
      <c r="H13" s="4" t="inlineStr"/>
      <c r="I13" s="12" t="inlineStr"/>
      <c r="J13" s="12" t="inlineStr"/>
      <c r="K13" s="4" t="inlineStr"/>
    </row>
    <row r="14" ht="58" customHeight="1">
      <c r="A14" s="12" t="inlineStr">
        <is>
          <t>R3-02</t>
        </is>
      </c>
      <c r="B14" s="12" t="inlineStr">
        <is>
          <t>3</t>
        </is>
      </c>
      <c r="C14" s="4" t="inlineStr">
        <is>
          <t>Champs masqués création</t>
        </is>
      </c>
      <c r="D14" s="17" t="inlineStr">
        <is>
          <t>Nominal</t>
        </is>
      </c>
      <c r="E14" s="4" t="inlineStr">
        <is>
          <t>-</t>
        </is>
      </c>
      <c r="F14" s="4" t="inlineStr">
        <is>
          <t>Cliquer Créer.</t>
        </is>
      </c>
      <c r="G14" s="4" t="inlineStr">
        <is>
          <t>Les champs « Indice de Securite » et « Language » ne sont plus visibles dans le formulaire.</t>
        </is>
      </c>
      <c r="H14" s="4" t="inlineStr"/>
      <c r="I14" s="12" t="inlineStr"/>
      <c r="J14" s="12" t="inlineStr"/>
      <c r="K14" s="4" t="inlineStr"/>
    </row>
    <row r="15" ht="58" customHeight="1">
      <c r="A15" s="12" t="inlineStr">
        <is>
          <t>R3-03</t>
        </is>
      </c>
      <c r="B15" s="12" t="inlineStr">
        <is>
          <t>3</t>
        </is>
      </c>
      <c r="C15" s="4" t="inlineStr">
        <is>
          <t>Valeurs par défaut</t>
        </is>
      </c>
      <c r="D15" s="17" t="inlineStr">
        <is>
          <t>Nominal</t>
        </is>
      </c>
      <c r="E15" s="4" t="inlineStr">
        <is>
          <t>-</t>
        </is>
      </c>
      <c r="F15" s="4" t="inlineStr">
        <is>
          <t>Créer un utilisateur (nom, prénom, profil, login, mot de passe) et Enregistrer.</t>
        </is>
      </c>
      <c r="G15" s="4" t="inlineStr">
        <is>
          <t>Création OK ; en base str_IDS = 1 et langue française (lg_Language_ID = 1).</t>
        </is>
      </c>
      <c r="H15" s="4" t="inlineStr"/>
      <c r="I15" s="12" t="inlineStr"/>
      <c r="J15" s="12" t="inlineStr"/>
      <c r="K15" s="4" t="inlineStr"/>
    </row>
    <row r="16" ht="58" customHeight="1">
      <c r="A16" s="12" t="inlineStr">
        <is>
          <t>R3-04</t>
        </is>
      </c>
      <c r="B16" s="12" t="inlineStr">
        <is>
          <t>3</t>
        </is>
      </c>
      <c r="C16" s="4" t="inlineStr">
        <is>
          <t>Non-régression modification</t>
        </is>
      </c>
      <c r="D16" s="19" t="inlineStr">
        <is>
          <t>Régression</t>
        </is>
      </c>
      <c r="E16" s="4" t="inlineStr">
        <is>
          <t>Un utilisateur existant</t>
        </is>
      </c>
      <c r="F16" s="4" t="inlineStr">
        <is>
          <t>Modifier un utilisateur existant.</t>
        </is>
      </c>
      <c r="G16" s="4" t="inlineStr">
        <is>
          <t>IDS et langue restent visibles/éditables et conservent leurs valeurs ; modification enregistrée.</t>
        </is>
      </c>
      <c r="H16" s="4" t="inlineStr"/>
      <c r="I16" s="12" t="inlineStr"/>
      <c r="J16" s="12" t="inlineStr"/>
      <c r="K16" s="4" t="inlineStr"/>
    </row>
    <row r="17" ht="58" customHeight="1">
      <c r="A17" s="12" t="inlineStr">
        <is>
          <t>R4-01</t>
        </is>
      </c>
      <c r="B17" s="12" t="inlineStr">
        <is>
          <t>4</t>
        </is>
      </c>
      <c r="C17" s="4" t="inlineStr">
        <is>
          <t>Nom pharmacien</t>
        </is>
      </c>
      <c r="D17" s="17" t="inlineStr">
        <is>
          <t>Nominal</t>
        </is>
      </c>
      <c r="E17" s="4" t="inlineStr">
        <is>
          <t>Connexion profil Pharmacien</t>
        </is>
      </c>
      <c r="F17" s="4" t="inlineStr">
        <is>
          <t>Se connecter ; observer le titre du dashboard d'accueil.</t>
        </is>
      </c>
      <c r="G17" s="4" t="inlineStr">
        <is>
          <t>Le nom du pharmacien s'affiche à la place de « Tableau de bord ».</t>
        </is>
      </c>
      <c r="H17" s="4" t="inlineStr"/>
      <c r="I17" s="12" t="inlineStr"/>
      <c r="J17" s="12" t="inlineStr"/>
      <c r="K17" s="4" t="inlineStr"/>
    </row>
    <row r="18" ht="58" customHeight="1">
      <c r="A18" s="12" t="inlineStr">
        <is>
          <t>R4-02</t>
        </is>
      </c>
      <c r="B18" s="12" t="inlineStr">
        <is>
          <t>4</t>
        </is>
      </c>
      <c r="C18" s="4" t="inlineStr">
        <is>
          <t>Carte valorisation</t>
        </is>
      </c>
      <c r="D18" s="17" t="inlineStr">
        <is>
          <t>Nominal</t>
        </is>
      </c>
      <c r="E18" s="4" t="inlineStr">
        <is>
          <t>Dashboard affiché</t>
        </is>
      </c>
      <c r="F18" s="4" t="inlineStr">
        <is>
          <t>Observer la carte KPI « Valorisation stock ».</t>
        </is>
      </c>
      <c r="G18" s="4" t="inlineStr">
        <is>
          <t>La valorisation totale du stock (prix d'achat) du jour est affichée.</t>
        </is>
      </c>
      <c r="H18" s="4" t="inlineStr"/>
      <c r="I18" s="12" t="inlineStr"/>
      <c r="J18" s="12" t="inlineStr"/>
      <c r="K18" s="4" t="inlineStr"/>
    </row>
    <row r="19" ht="58" customHeight="1">
      <c r="A19" s="12" t="inlineStr">
        <is>
          <t>R4-03</t>
        </is>
      </c>
      <c r="B19" s="12" t="inlineStr">
        <is>
          <t>4</t>
        </is>
      </c>
      <c r="C19" s="4" t="inlineStr">
        <is>
          <t>Actualiser</t>
        </is>
      </c>
      <c r="D19" s="17" t="inlineStr">
        <is>
          <t>Nominal</t>
        </is>
      </c>
      <c r="E19" s="4" t="inlineStr">
        <is>
          <t>Dashboard affiché</t>
        </is>
      </c>
      <c r="F19" s="4" t="inlineStr">
        <is>
          <t>Cliquer « Actualiser ».</t>
        </is>
      </c>
      <c r="G19" s="4" t="inlineStr">
        <is>
          <t>Le nom et la valorisation se rechargent sans erreur.</t>
        </is>
      </c>
      <c r="H19" s="4" t="inlineStr"/>
      <c r="I19" s="12" t="inlineStr"/>
      <c r="J19" s="12" t="inlineStr"/>
      <c r="K19" s="4" t="inlineStr"/>
    </row>
    <row r="20" ht="58" customHeight="1">
      <c r="A20" s="12" t="inlineStr">
        <is>
          <t>R4-04</t>
        </is>
      </c>
      <c r="B20" s="12" t="inlineStr">
        <is>
          <t>4</t>
        </is>
      </c>
      <c r="C20" s="4" t="inlineStr">
        <is>
          <t>API indisponible</t>
        </is>
      </c>
      <c r="D20" s="18" t="inlineStr">
        <is>
          <t>Limite</t>
        </is>
      </c>
      <c r="E20" s="4" t="inlineStr">
        <is>
          <t>Simuler indisponibilité valorisation</t>
        </is>
      </c>
      <c r="F20" s="4" t="inlineStr">
        <is>
          <t>Couper/forcer l'échec de l'appel produit/valorisation.</t>
        </is>
      </c>
      <c r="G20" s="4" t="inlineStr">
        <is>
          <t>Repli sur « Tableau de bord » et valorisation « — » ; pas d'erreur bloquante sur le dashboard.</t>
        </is>
      </c>
      <c r="H20" s="4" t="inlineStr"/>
      <c r="I20" s="12" t="inlineStr"/>
      <c r="J20" s="12" t="inlineStr"/>
      <c r="K20" s="4" t="inlineStr"/>
    </row>
    <row r="21" ht="58" customHeight="1">
      <c r="A21" s="12" t="inlineStr">
        <is>
          <t>R4-05</t>
        </is>
      </c>
      <c r="B21" s="12" t="inlineStr">
        <is>
          <t>4</t>
        </is>
      </c>
      <c r="C21" s="4" t="inlineStr">
        <is>
          <t>Non-régression KPI</t>
        </is>
      </c>
      <c r="D21" s="19" t="inlineStr">
        <is>
          <t>Régression</t>
        </is>
      </c>
      <c r="E21" s="4" t="inlineStr">
        <is>
          <t>Dashboard affiché</t>
        </is>
      </c>
      <c r="F21" s="4" t="inlineStr">
        <is>
          <t>Vérifier CA, achats, panier, marge et graphes.</t>
        </is>
      </c>
      <c r="G21" s="4" t="inlineStr">
        <is>
          <t>Tous les indicateurs et graphes existants fonctionnent comme avant.</t>
        </is>
      </c>
      <c r="H21" s="4" t="inlineStr"/>
      <c r="I21" s="12" t="inlineStr"/>
      <c r="J21" s="12" t="inlineStr"/>
      <c r="K21" s="4" t="inlineStr"/>
    </row>
    <row r="22" ht="58" customHeight="1">
      <c r="A22" s="12" t="inlineStr">
        <is>
          <t>R5-01</t>
        </is>
      </c>
      <c r="B22" s="12" t="inlineStr">
        <is>
          <t>5</t>
        </is>
      </c>
      <c r="C22" s="4" t="inlineStr">
        <is>
          <t>Ordre des colonnes</t>
        </is>
      </c>
      <c r="D22" s="17" t="inlineStr">
        <is>
          <t>Nominal</t>
        </is>
      </c>
      <c r="E22" s="4" t="inlineStr">
        <is>
          <t>-</t>
        </is>
      </c>
      <c r="F22" s="4" t="inlineStr">
        <is>
          <t>Ouvrir la grille grossiste.</t>
        </is>
      </c>
      <c r="G22" s="4" t="inlineStr">
        <is>
          <t>Colonnes visibles dans l'ordre : Nom, ID Repartiteur, URL_PharmaML, Code Recepteur Pharmacie, ID Recepteur Pharmacie, Téléphone, Ville.</t>
        </is>
      </c>
      <c r="H22" s="4" t="inlineStr"/>
      <c r="I22" s="12" t="inlineStr"/>
      <c r="J22" s="12" t="inlineStr"/>
      <c r="K22" s="4" t="inlineStr"/>
    </row>
    <row r="23" ht="58" customHeight="1">
      <c r="A23" s="12" t="inlineStr">
        <is>
          <t>R5-02</t>
        </is>
      </c>
      <c r="B23" s="12" t="inlineStr">
        <is>
          <t>5</t>
        </is>
      </c>
      <c r="C23" s="4" t="inlineStr">
        <is>
          <t>Champs formulaire</t>
        </is>
      </c>
      <c r="D23" s="17" t="inlineStr">
        <is>
          <t>Nominal</t>
        </is>
      </c>
      <c r="E23" s="4" t="inlineStr">
        <is>
          <t>-</t>
        </is>
      </c>
      <c r="F23" s="4" t="inlineStr">
        <is>
          <t>Créer un grossiste.</t>
        </is>
      </c>
      <c r="G23" s="4" t="inlineStr">
        <is>
          <t>Le formulaire présente : code Agence, lien pharmaML, Code recepteur, Code Client, Identifiant Officine.</t>
        </is>
      </c>
      <c r="H23" s="4" t="inlineStr"/>
      <c r="I23" s="12" t="inlineStr"/>
      <c r="J23" s="12" t="inlineStr"/>
      <c r="K23" s="4" t="inlineStr"/>
    </row>
    <row r="24" ht="58" customHeight="1">
      <c r="A24" s="12" t="inlineStr">
        <is>
          <t>R5-03</t>
        </is>
      </c>
      <c r="B24" s="12" t="inlineStr">
        <is>
          <t>5</t>
        </is>
      </c>
      <c r="C24" s="4" t="inlineStr">
        <is>
          <t>Création persistée</t>
        </is>
      </c>
      <c r="D24" s="17" t="inlineStr">
        <is>
          <t>Nominal</t>
        </is>
      </c>
      <c r="E24" s="4" t="inlineStr">
        <is>
          <t>Back-end déployé</t>
        </is>
      </c>
      <c r="F24" s="4" t="inlineStr">
        <is>
          <t>Renseigner les nouveaux champs et Enregistrer.</t>
        </is>
      </c>
      <c r="G24" s="4" t="inlineStr">
        <is>
          <t>Création OK ; les valeurs sont enregistrées et visibles dans la grille.</t>
        </is>
      </c>
      <c r="H24" s="4" t="inlineStr"/>
      <c r="I24" s="12" t="inlineStr"/>
      <c r="J24" s="12" t="inlineStr"/>
      <c r="K24" s="4" t="inlineStr"/>
    </row>
    <row r="25" ht="58" customHeight="1">
      <c r="A25" s="12" t="inlineStr">
        <is>
          <t>R5-04</t>
        </is>
      </c>
      <c r="B25" s="12" t="inlineStr">
        <is>
          <t>5</t>
        </is>
      </c>
      <c r="C25" s="4" t="inlineStr">
        <is>
          <t>Modification persistée</t>
        </is>
      </c>
      <c r="D25" s="17" t="inlineStr">
        <is>
          <t>Nominal</t>
        </is>
      </c>
      <c r="E25" s="4" t="inlineStr">
        <is>
          <t>Un grossiste existant</t>
        </is>
      </c>
      <c r="F25" s="4" t="inlineStr">
        <is>
          <t>Modifier un grossiste, changer les nouveaux champs, Enregistrer.</t>
        </is>
      </c>
      <c r="G25" s="4" t="inlineStr">
        <is>
          <t>Champs pré-remplis à l'ouverture ; modifications persistées.</t>
        </is>
      </c>
      <c r="H25" s="4" t="inlineStr"/>
      <c r="I25" s="12" t="inlineStr"/>
      <c r="J25" s="12" t="inlineStr"/>
      <c r="K25" s="4" t="inlineStr"/>
    </row>
    <row r="26" ht="58" customHeight="1">
      <c r="A26" s="12" t="inlineStr">
        <is>
          <t>R5-05</t>
        </is>
      </c>
      <c r="B26" s="12" t="inlineStr">
        <is>
          <t>5</t>
        </is>
      </c>
      <c r="C26" s="4" t="inlineStr">
        <is>
          <t>Anciens grossistes</t>
        </is>
      </c>
      <c r="D26" s="19" t="inlineStr">
        <is>
          <t>Régression</t>
        </is>
      </c>
      <c r="E26" s="4" t="inlineStr">
        <is>
          <t>Grossistes existants sans PharmaML</t>
        </is>
      </c>
      <c r="F26" s="4" t="inlineStr">
        <is>
          <t>Consulter d'anciens grossistes en grille.</t>
        </is>
      </c>
      <c r="G26" s="4" t="inlineStr">
        <is>
          <t>Cellules vides pour les nouveaux champs ; aucune erreur d'affichage.</t>
        </is>
      </c>
      <c r="H26" s="4" t="inlineStr"/>
      <c r="I26" s="12" t="inlineStr"/>
      <c r="J26" s="12" t="inlineStr"/>
      <c r="K26" s="4" t="inlineStr"/>
    </row>
    <row r="27" ht="58" customHeight="1">
      <c r="A27" s="12" t="inlineStr">
        <is>
          <t>R5-06</t>
        </is>
      </c>
      <c r="B27" s="12" t="inlineStr">
        <is>
          <t>5</t>
        </is>
      </c>
      <c r="C27" s="4" t="inlineStr">
        <is>
          <t>Non-régression autres champs</t>
        </is>
      </c>
      <c r="D27" s="19" t="inlineStr">
        <is>
          <t>Régression</t>
        </is>
      </c>
      <c r="E27" s="4" t="inlineStr">
        <is>
          <t>-</t>
        </is>
      </c>
      <c r="F27" s="4" t="inlineStr">
        <is>
          <t>Créer/modifier avec adresse, téléphone, ville, groupe, type règlement.</t>
        </is>
      </c>
      <c r="G27" s="4" t="inlineStr">
        <is>
          <t>Ces champs continuent de fonctionner normalement.</t>
        </is>
      </c>
      <c r="H27" s="4" t="inlineStr"/>
      <c r="I27" s="12" t="inlineStr"/>
      <c r="J27" s="12" t="inlineStr"/>
      <c r="K27" s="4" t="inlineStr"/>
    </row>
    <row r="28" ht="58" customHeight="1">
      <c r="A28" s="12" t="inlineStr">
        <is>
          <t>R6-01</t>
        </is>
      </c>
      <c r="B28" s="12" t="inlineStr">
        <is>
          <t>6</t>
        </is>
      </c>
      <c r="C28" s="4" t="inlineStr">
        <is>
          <t>Code remise par défaut</t>
        </is>
      </c>
      <c r="D28" s="17" t="inlineStr">
        <is>
          <t>Nominal</t>
        </is>
      </c>
      <c r="E28" s="4" t="inlineStr">
        <is>
          <t>Back-end déployé</t>
        </is>
      </c>
      <c r="F28" s="4" t="inlineStr">
        <is>
          <t>Dans une commande en cours, créer rapidement un nouveau produit et Enregistrer.</t>
        </is>
      </c>
      <c r="G28" s="4" t="inlineStr">
        <is>
          <t>Produit créé ; str_CODE_REMISE = 0 en base.</t>
        </is>
      </c>
      <c r="H28" s="4" t="inlineStr"/>
      <c r="I28" s="12" t="inlineStr"/>
      <c r="J28" s="12" t="inlineStr"/>
      <c r="K28" s="4" t="inlineStr"/>
    </row>
    <row r="29" ht="58" customHeight="1">
      <c r="A29" s="12" t="inlineStr">
        <is>
          <t>R6-02</t>
        </is>
      </c>
      <c r="B29" s="12" t="inlineStr">
        <is>
          <t>6</t>
        </is>
      </c>
      <c r="C29" s="4" t="inlineStr">
        <is>
          <t>Non-régression saisie commande</t>
        </is>
      </c>
      <c r="D29" s="19" t="inlineStr">
        <is>
          <t>Régression</t>
        </is>
      </c>
      <c r="E29" s="4" t="inlineStr">
        <is>
          <t>-</t>
        </is>
      </c>
      <c r="F29" s="4" t="inlineStr">
        <is>
          <t>Poursuivre la saisie de commande après création du produit.</t>
        </is>
      </c>
      <c r="G29" s="4" t="inlineStr">
        <is>
          <t>Le produit créé est sélectionnable ; la saisie commande fonctionne normalement.</t>
        </is>
      </c>
      <c r="H29" s="4" t="inlineStr"/>
      <c r="I29" s="12" t="inlineStr"/>
      <c r="J29" s="12" t="inlineStr"/>
      <c r="K29" s="4" t="inlineStr"/>
    </row>
    <row r="30" ht="58" customHeight="1">
      <c r="A30" s="12" t="inlineStr">
        <is>
          <t>R7-01</t>
        </is>
      </c>
      <c r="B30" s="12" t="inlineStr">
        <is>
          <t>7</t>
        </is>
      </c>
      <c r="C30" s="4" t="inlineStr">
        <is>
          <t>Survol ligne</t>
        </is>
      </c>
      <c r="D30" s="17" t="inlineStr">
        <is>
          <t>Nominal</t>
        </is>
      </c>
      <c r="E30" s="4" t="inlineStr">
        <is>
          <t>Écran facturation avec lignes</t>
        </is>
      </c>
      <c r="F30" s="4" t="inlineStr">
        <is>
          <t>Survoler différentes lignes de la grille des factures.</t>
        </is>
      </c>
      <c r="G30" s="4" t="inlineStr">
        <is>
          <t>La ligne survolée est mise en évidence (fond ambré).</t>
        </is>
      </c>
      <c r="H30" s="4" t="inlineStr"/>
      <c r="I30" s="12" t="inlineStr"/>
      <c r="J30" s="12" t="inlineStr"/>
      <c r="K30" s="4" t="inlineStr"/>
    </row>
    <row r="31" ht="58" customHeight="1">
      <c r="A31" s="12" t="inlineStr">
        <is>
          <t>R7-02</t>
        </is>
      </c>
      <c r="B31" s="12" t="inlineStr">
        <is>
          <t>7</t>
        </is>
      </c>
      <c r="C31" s="4" t="inlineStr">
        <is>
          <t>Non-régression sélection</t>
        </is>
      </c>
      <c r="D31" s="19" t="inlineStr">
        <is>
          <t>Régression</t>
        </is>
      </c>
      <c r="E31" s="4" t="inlineStr">
        <is>
          <t>-</t>
        </is>
      </c>
      <c r="F31" s="4" t="inlineStr">
        <is>
          <t>Cocher/décocher des factures ; consulter d'autres grilles de l'application.</t>
        </is>
      </c>
      <c r="G31" s="4" t="inlineStr">
        <is>
          <t>La sélection par cases fonctionne ; les autres grilles ne sont pas affectées par le style de survol.</t>
        </is>
      </c>
      <c r="H31" s="4" t="inlineStr"/>
      <c r="I31" s="12" t="inlineStr"/>
      <c r="J31" s="12" t="inlineStr"/>
      <c r="K31" s="4" t="inlineStr"/>
    </row>
    <row r="32" ht="58" customHeight="1">
      <c r="A32" s="12" t="inlineStr">
        <is>
          <t>R8-01</t>
        </is>
      </c>
      <c r="B32" s="12" t="inlineStr">
        <is>
          <t>8</t>
        </is>
      </c>
      <c r="C32" s="4" t="inlineStr">
        <is>
          <t>Temps de chargement</t>
        </is>
      </c>
      <c r="D32" s="17" t="inlineStr">
        <is>
          <t>Nominal</t>
        </is>
      </c>
      <c r="E32" s="4" t="inlineStr">
        <is>
          <t>Fiche inventaire avec beaucoup d'articles</t>
        </is>
      </c>
      <c r="F32" s="4" t="inlineStr">
        <is>
          <t>Inventaire → « Ajouter des articles à une fiche d'inventaire ».</t>
        </is>
      </c>
      <c r="G32" s="4" t="inlineStr">
        <is>
          <t>La liste des articles se charge plus rapidement qu'auparavant.</t>
        </is>
      </c>
      <c r="H32" s="4" t="inlineStr"/>
      <c r="I32" s="12" t="inlineStr"/>
      <c r="J32" s="12" t="inlineStr"/>
      <c r="K32" s="4" t="inlineStr"/>
    </row>
    <row r="33" ht="58" customHeight="1">
      <c r="A33" s="12" t="inlineStr">
        <is>
          <t>R8-02</t>
        </is>
      </c>
      <c r="B33" s="12" t="inlineStr">
        <is>
          <t>8</t>
        </is>
      </c>
      <c r="C33" s="4" t="inlineStr">
        <is>
          <t>Filtres &amp; pagination</t>
        </is>
      </c>
      <c r="D33" s="17" t="inlineStr">
        <is>
          <t>Nominal</t>
        </is>
      </c>
      <c r="E33" s="4" t="inlineStr">
        <is>
          <t>Fenêtre ouverte</t>
        </is>
      </c>
      <c r="F33" s="4" t="inlineStr">
        <is>
          <t>Utiliser les filtres (famille, zone, grossiste), la recherche et la pagination.</t>
        </is>
      </c>
      <c r="G33" s="4" t="inlineStr">
        <is>
          <t>Les filtres et la pagination renvoient les bons articles.</t>
        </is>
      </c>
      <c r="H33" s="4" t="inlineStr"/>
      <c r="I33" s="12" t="inlineStr"/>
      <c r="J33" s="12" t="inlineStr"/>
      <c r="K33" s="4" t="inlineStr"/>
    </row>
    <row r="34" ht="58" customHeight="1">
      <c r="A34" s="12" t="inlineStr">
        <is>
          <t>R8-03</t>
        </is>
      </c>
      <c r="B34" s="12" t="inlineStr">
        <is>
          <t>8</t>
        </is>
      </c>
      <c r="C34" s="4" t="inlineStr">
        <is>
          <t>Non-régression sélection article</t>
        </is>
      </c>
      <c r="D34" s="19" t="inlineStr">
        <is>
          <t>Régression</t>
        </is>
      </c>
      <c r="E34" s="4" t="inlineStr">
        <is>
          <t>Fenêtre ouverte</t>
        </is>
      </c>
      <c r="F34" s="4" t="inlineStr">
        <is>
          <t>Cocher/décocher un article.</t>
        </is>
      </c>
      <c r="G34" s="4" t="inlineStr">
        <is>
          <t>La sélection est prise en compte ; CIP, désignation et prix affichés restent corrects.</t>
        </is>
      </c>
      <c r="H34" s="4" t="inlineStr"/>
      <c r="I34" s="12" t="inlineStr"/>
      <c r="J34" s="12" t="inlineStr"/>
      <c r="K34" s="4" t="inlineStr"/>
    </row>
    <row r="35" ht="58" customHeight="1">
      <c r="A35" s="12" t="inlineStr">
        <is>
          <t>R9-01</t>
        </is>
      </c>
      <c r="B35" s="12" t="inlineStr">
        <is>
          <t>9</t>
        </is>
      </c>
      <c r="C35" s="4" t="inlineStr">
        <is>
          <t>Confirmation UG affichée</t>
        </is>
      </c>
      <c r="D35" s="17" t="inlineStr">
        <is>
          <t>Nominal</t>
        </is>
      </c>
      <c r="E35" s="4" t="inlineStr">
        <is>
          <t>Un bon de livraison à valider</t>
        </is>
      </c>
      <c r="F35" s="4" t="inlineStr">
        <is>
          <t>Gestion des entrées → cliquer ENTREE EN STOCK.</t>
        </is>
      </c>
      <c r="G35" s="4" t="inlineStr">
        <is>
          <t>Une 1re fenêtre rouge « AVEZ-VOUS RENSEIGNÉ LES UNITÉS GRATUITES ? » s'affiche avec Oui/Non.</t>
        </is>
      </c>
      <c r="H35" s="4" t="inlineStr"/>
      <c r="I35" s="12" t="inlineStr"/>
      <c r="J35" s="12" t="inlineStr"/>
      <c r="K35" s="4" t="inlineStr"/>
    </row>
    <row r="36" ht="58" customHeight="1">
      <c r="A36" s="12" t="inlineStr">
        <is>
          <t>R9-02</t>
        </is>
      </c>
      <c r="B36" s="12" t="inlineStr">
        <is>
          <t>9</t>
        </is>
      </c>
      <c r="C36" s="4" t="inlineStr">
        <is>
          <t>Réponse Oui</t>
        </is>
      </c>
      <c r="D36" s="17" t="inlineStr">
        <is>
          <t>Nominal</t>
        </is>
      </c>
      <c r="E36" s="4" t="inlineStr">
        <is>
          <t>Fenêtre UG affichée</t>
        </is>
      </c>
      <c r="F36" s="4" t="inlineStr">
        <is>
          <t>Cliquer Oui.</t>
        </is>
      </c>
      <c r="G36" s="4" t="inlineStr">
        <is>
          <t>La confirmation existante « Confirmer l'entrée en stock » s'affiche ensuite.</t>
        </is>
      </c>
      <c r="H36" s="4" t="inlineStr"/>
      <c r="I36" s="12" t="inlineStr"/>
      <c r="J36" s="12" t="inlineStr"/>
      <c r="K36" s="4" t="inlineStr"/>
    </row>
    <row r="37" ht="58" customHeight="1">
      <c r="A37" s="12" t="inlineStr">
        <is>
          <t>R9-03</t>
        </is>
      </c>
      <c r="B37" s="12" t="inlineStr">
        <is>
          <t>9</t>
        </is>
      </c>
      <c r="C37" s="4" t="inlineStr">
        <is>
          <t>Réponse Non</t>
        </is>
      </c>
      <c r="D37" s="17" t="inlineStr">
        <is>
          <t>Nominal</t>
        </is>
      </c>
      <c r="E37" s="4" t="inlineStr">
        <is>
          <t>Fenêtre UG affichée</t>
        </is>
      </c>
      <c r="F37" s="4" t="inlineStr">
        <is>
          <t>Cliquer Non.</t>
        </is>
      </c>
      <c r="G37" s="4" t="inlineStr">
        <is>
          <t>On reste sur la vue ; aucune entrée en stock n'est déclenchée.</t>
        </is>
      </c>
      <c r="H37" s="4" t="inlineStr"/>
      <c r="I37" s="12" t="inlineStr"/>
      <c r="J37" s="12" t="inlineStr"/>
      <c r="K37" s="4" t="inlineStr"/>
    </row>
    <row r="38" ht="58" customHeight="1">
      <c r="A38" s="12" t="inlineStr">
        <is>
          <t>R9-04</t>
        </is>
      </c>
      <c r="B38" s="12" t="inlineStr">
        <is>
          <t>9</t>
        </is>
      </c>
      <c r="C38" s="4" t="inlineStr">
        <is>
          <t>Focus recherche produit</t>
        </is>
      </c>
      <c r="D38" s="17" t="inlineStr">
        <is>
          <t>Nominal</t>
        </is>
      </c>
      <c r="E38" s="4" t="inlineStr">
        <is>
          <t>Vue entrée avec tableau produits</t>
        </is>
      </c>
      <c r="F38" s="4" t="inlineStr">
        <is>
          <t>Saisir dans la recherche du tableau du bas, valider Entrée après modification d'un produit.</t>
        </is>
      </c>
      <c r="G38" s="4" t="inlineStr">
        <is>
          <t>Le curseur revient automatiquement dans le champ de recherche des produits.</t>
        </is>
      </c>
      <c r="H38" s="4" t="inlineStr"/>
      <c r="I38" s="12" t="inlineStr"/>
      <c r="J38" s="12" t="inlineStr"/>
      <c r="K38" s="4" t="inlineStr"/>
    </row>
    <row r="39" ht="58" customHeight="1">
      <c r="A39" s="12" t="inlineStr">
        <is>
          <t>R9-05</t>
        </is>
      </c>
      <c r="B39" s="12" t="inlineStr">
        <is>
          <t>9</t>
        </is>
      </c>
      <c r="C39" s="4" t="inlineStr">
        <is>
          <t>Non-régression validation</t>
        </is>
      </c>
      <c r="D39" s="19" t="inlineStr">
        <is>
          <t>Régression</t>
        </is>
      </c>
      <c r="E39" s="4" t="inlineStr">
        <is>
          <t>-</t>
        </is>
      </c>
      <c r="F39" s="4" t="inlineStr">
        <is>
          <t>Après Oui puis confirmation, valider l'entrée en stock.</t>
        </is>
      </c>
      <c r="G39" s="4" t="inlineStr">
        <is>
          <t>Le PUT validerbl, l'impression du BL et des étiquettes fonctionnent comme avant.</t>
        </is>
      </c>
      <c r="H39" s="4" t="inlineStr"/>
      <c r="I39" s="12" t="inlineStr"/>
      <c r="J39" s="12" t="inlineStr"/>
      <c r="K39" s="4" t="inlineStr"/>
    </row>
    <row r="40" ht="58" customHeight="1">
      <c r="A40" s="12" t="inlineStr">
        <is>
          <t>R10-01</t>
        </is>
      </c>
      <c r="B40" s="12" t="inlineStr">
        <is>
          <t>10</t>
        </is>
      </c>
      <c r="C40" s="4" t="inlineStr">
        <is>
          <t>Bouton imprimer portrait</t>
        </is>
      </c>
      <c r="D40" s="17" t="inlineStr">
        <is>
          <t>Nominal</t>
        </is>
      </c>
      <c r="E40" s="4" t="inlineStr">
        <is>
          <t>Emplacements existants</t>
        </is>
      </c>
      <c r="F40" s="4" t="inlineStr">
        <is>
          <t>Menu Emplacements → cliquer Imprimer.</t>
        </is>
      </c>
      <c r="G40" s="4" t="inlineStr">
        <is>
          <t>Fenêtre portrait avec colonnes : Code, Libellé, Comptage 1, Comptage 2 (colonnes de comptage vides à remplir).</t>
        </is>
      </c>
      <c r="H40" s="4" t="inlineStr"/>
      <c r="I40" s="12" t="inlineStr"/>
      <c r="J40" s="12" t="inlineStr"/>
      <c r="K40" s="4" t="inlineStr"/>
    </row>
    <row r="41" ht="58" customHeight="1">
      <c r="A41" s="12" t="inlineStr">
        <is>
          <t>R10-02</t>
        </is>
      </c>
      <c r="B41" s="12" t="inlineStr">
        <is>
          <t>10</t>
        </is>
      </c>
      <c r="C41" s="4" t="inlineStr">
        <is>
          <t>Toutes les pages</t>
        </is>
      </c>
      <c r="D41" s="17" t="inlineStr">
        <is>
          <t>Nominal</t>
        </is>
      </c>
      <c r="E41" s="4" t="inlineStr">
        <is>
          <t>Plus d'une page d'emplacements</t>
        </is>
      </c>
      <c r="F41" s="4" t="inlineStr">
        <is>
          <t>Lancer l'impression.</t>
        </is>
      </c>
      <c r="G41" s="4" t="inlineStr">
        <is>
          <t>Tous les emplacements figurent (pas seulement la page affichée).</t>
        </is>
      </c>
      <c r="H41" s="4" t="inlineStr"/>
      <c r="I41" s="12" t="inlineStr"/>
      <c r="J41" s="12" t="inlineStr"/>
      <c r="K41" s="4" t="inlineStr"/>
    </row>
    <row r="42" ht="58" customHeight="1">
      <c r="A42" s="12" t="inlineStr">
        <is>
          <t>R10-03</t>
        </is>
      </c>
      <c r="B42" s="12" t="inlineStr">
        <is>
          <t>10</t>
        </is>
      </c>
      <c r="C42" s="4" t="inlineStr">
        <is>
          <t>Respect du filtre</t>
        </is>
      </c>
      <c r="D42" s="18" t="inlineStr">
        <is>
          <t>Limite</t>
        </is>
      </c>
      <c r="E42" s="4" t="inlineStr">
        <is>
          <t>-</t>
        </is>
      </c>
      <c r="F42" s="4" t="inlineStr">
        <is>
          <t>Saisir une recherche puis imprimer.</t>
        </is>
      </c>
      <c r="G42" s="4" t="inlineStr">
        <is>
          <t>L'impression reflète le filtre de recherche appliqué.</t>
        </is>
      </c>
      <c r="H42" s="4" t="inlineStr"/>
      <c r="I42" s="12" t="inlineStr"/>
      <c r="J42" s="12" t="inlineStr"/>
      <c r="K42" s="4" t="inlineStr"/>
    </row>
    <row r="43" ht="58" customHeight="1">
      <c r="A43" s="12" t="inlineStr">
        <is>
          <t>R11-01</t>
        </is>
      </c>
      <c r="B43" s="12" t="inlineStr">
        <is>
          <t>11</t>
        </is>
      </c>
      <c r="C43" s="4" t="inlineStr">
        <is>
          <t>Colonne date dernière entrée</t>
        </is>
      </c>
      <c r="D43" s="17" t="inlineStr">
        <is>
          <t>Nominal</t>
        </is>
      </c>
      <c r="E43" s="4" t="inlineStr">
        <is>
          <t>Back-end déployé</t>
        </is>
      </c>
      <c r="F43" s="4" t="inlineStr">
        <is>
          <t>Ouvrir Articles invendus.</t>
        </is>
      </c>
      <c r="G43" s="4" t="inlineStr">
        <is>
          <t>La colonne « Date dernière entrée » est présente et renseignée.</t>
        </is>
      </c>
      <c r="H43" s="4" t="inlineStr"/>
      <c r="I43" s="12" t="inlineStr"/>
      <c r="J43" s="12" t="inlineStr"/>
      <c r="K43" s="4" t="inlineStr"/>
    </row>
    <row r="44" ht="58" customHeight="1">
      <c r="A44" s="12" t="inlineStr">
        <is>
          <t>R11-02</t>
        </is>
      </c>
      <c r="B44" s="12" t="inlineStr">
        <is>
          <t>11</t>
        </is>
      </c>
      <c r="C44" s="4" t="inlineStr">
        <is>
          <t>Filtre invendus 6 mois</t>
        </is>
      </c>
      <c r="D44" s="17" t="inlineStr">
        <is>
          <t>Nominal</t>
        </is>
      </c>
      <c r="E44" s="4" t="inlineStr">
        <is>
          <t>Données d'entrées en stock</t>
        </is>
      </c>
      <c r="F44" s="4" t="inlineStr">
        <is>
          <t>Du = J-6 mois, Au = aujourd'hui, « Invendus depuis (mois) » = 6, Rechercher.</t>
        </is>
      </c>
      <c r="G44" s="4" t="inlineStr">
        <is>
          <t>La liste ne contient que des produits non vendus sur la période et sans entrée depuis ≥ 6 mois.</t>
        </is>
      </c>
      <c r="H44" s="4" t="inlineStr"/>
      <c r="I44" s="12" t="inlineStr"/>
      <c r="J44" s="12" t="inlineStr"/>
      <c r="K44" s="4" t="inlineStr"/>
    </row>
    <row r="45" ht="58" customHeight="1">
      <c r="A45" s="12" t="inlineStr">
        <is>
          <t>R11-03</t>
        </is>
      </c>
      <c r="B45" s="12" t="inlineStr">
        <is>
          <t>11</t>
        </is>
      </c>
      <c r="C45" s="4" t="inlineStr">
        <is>
          <t>Variation du nombre de mois</t>
        </is>
      </c>
      <c r="D45" s="17" t="inlineStr">
        <is>
          <t>Nominal</t>
        </is>
      </c>
      <c r="E45" s="4" t="inlineStr">
        <is>
          <t>-</t>
        </is>
      </c>
      <c r="F45" s="4" t="inlineStr">
        <is>
          <t>Tester 3, 6 puis 12 mois.</t>
        </is>
      </c>
      <c r="G45" s="4" t="inlineStr">
        <is>
          <t>Le nombre de produits diminue/augmente de façon cohérente ; les dates de dernière entrée respectent le seuil.</t>
        </is>
      </c>
      <c r="H45" s="4" t="inlineStr"/>
      <c r="I45" s="12" t="inlineStr"/>
      <c r="J45" s="12" t="inlineStr"/>
      <c r="K45" s="4" t="inlineStr"/>
    </row>
    <row r="46" ht="58" customHeight="1">
      <c r="A46" s="12" t="inlineStr">
        <is>
          <t>R11-04</t>
        </is>
      </c>
      <c r="B46" s="12" t="inlineStr">
        <is>
          <t>11</t>
        </is>
      </c>
      <c r="C46" s="4" t="inlineStr">
        <is>
          <t>Non-régression écran</t>
        </is>
      </c>
      <c r="D46" s="19" t="inlineStr">
        <is>
          <t>Régression</t>
        </is>
      </c>
      <c r="E46" s="4" t="inlineStr">
        <is>
          <t>-</t>
        </is>
      </c>
      <c r="F46" s="4" t="inlineStr">
        <is>
          <t>Utiliser recherche, filtres rayon/grossiste/famille, export, suggestion, création inventaire, pagination.</t>
        </is>
      </c>
      <c r="G46" s="4" t="inlineStr">
        <is>
          <t>Toutes ces fonctions continuent de fonctionner.</t>
        </is>
      </c>
      <c r="H46" s="4" t="inlineStr"/>
      <c r="I46" s="12" t="inlineStr"/>
      <c r="J46" s="12" t="inlineStr"/>
      <c r="K46" s="4" t="inlineStr"/>
    </row>
    <row r="47" ht="58" customHeight="1">
      <c r="A47" s="12" t="inlineStr">
        <is>
          <t>R11-05</t>
        </is>
      </c>
      <c r="B47" s="12" t="inlineStr">
        <is>
          <t>11</t>
        </is>
      </c>
      <c r="C47" s="4" t="inlineStr">
        <is>
          <t>Mois vide / 0</t>
        </is>
      </c>
      <c r="D47" s="18" t="inlineStr">
        <is>
          <t>Limite</t>
        </is>
      </c>
      <c r="E47" s="4" t="inlineStr">
        <is>
          <t>-</t>
        </is>
      </c>
      <c r="F47" s="4" t="inlineStr">
        <is>
          <t>Laisser « Invendus depuis (mois) » vide ou 0, Rechercher.</t>
        </is>
      </c>
      <c r="G47" s="4" t="inlineStr">
        <is>
          <t>Aucun filtre sur la dernière entrée n'est appliqué (comportement d'origine).</t>
        </is>
      </c>
      <c r="H47" s="4" t="inlineStr"/>
      <c r="I47" s="12" t="inlineStr"/>
      <c r="J47" s="12" t="inlineStr"/>
      <c r="K47" s="4" t="inlineStr"/>
    </row>
    <row r="48" ht="58" customHeight="1">
      <c r="A48" s="12" t="inlineStr">
        <is>
          <t>R12-01</t>
        </is>
      </c>
      <c r="B48" s="12" t="inlineStr">
        <is>
          <t>12</t>
        </is>
      </c>
      <c r="C48" s="4" t="inlineStr">
        <is>
          <t>Deux onglets</t>
        </is>
      </c>
      <c r="D48" s="17" t="inlineStr">
        <is>
          <t>Nominal</t>
        </is>
      </c>
      <c r="E48" s="4" t="inlineStr">
        <is>
          <t>-</t>
        </is>
      </c>
      <c r="F48" s="4" t="inlineStr">
        <is>
          <t>Ouvrir le menu Unités gratuites.</t>
        </is>
      </c>
      <c r="G48" s="4" t="inlineStr">
        <is>
          <t>L'écran présente 2 onglets : l'onglet historique et l'onglet « Suivi UG ».</t>
        </is>
      </c>
      <c r="H48" s="4" t="inlineStr"/>
      <c r="I48" s="12" t="inlineStr"/>
      <c r="J48" s="12" t="inlineStr"/>
      <c r="K48" s="4" t="inlineStr"/>
    </row>
    <row r="49" ht="58" customHeight="1">
      <c r="A49" s="12" t="inlineStr">
        <is>
          <t>R12-02</t>
        </is>
      </c>
      <c r="B49" s="12" t="inlineStr">
        <is>
          <t>12</t>
        </is>
      </c>
      <c r="C49" s="4" t="inlineStr">
        <is>
          <t>Onglet historique inchangé</t>
        </is>
      </c>
      <c r="D49" s="19" t="inlineStr">
        <is>
          <t>Régression</t>
        </is>
      </c>
      <c r="E49" s="4" t="inlineStr">
        <is>
          <t>-</t>
        </is>
      </c>
      <c r="F49" s="4" t="inlineStr">
        <is>
          <t>Utiliser l'onglet historique (recherche, dates, grossiste, impression).</t>
        </is>
      </c>
      <c r="G49" s="4" t="inlineStr">
        <is>
          <t>Fonctionne exactement comme l'écran d'origine.</t>
        </is>
      </c>
      <c r="H49" s="4" t="inlineStr"/>
      <c r="I49" s="12" t="inlineStr"/>
      <c r="J49" s="12" t="inlineStr"/>
      <c r="K49" s="4" t="inlineStr"/>
    </row>
    <row r="50" ht="58" customHeight="1">
      <c r="A50" s="12" t="inlineStr">
        <is>
          <t>R12-03</t>
        </is>
      </c>
      <c r="B50" s="12" t="inlineStr">
        <is>
          <t>12</t>
        </is>
      </c>
      <c r="C50" s="4" t="inlineStr">
        <is>
          <t>Grille Suivi UG</t>
        </is>
      </c>
      <c r="D50" s="17" t="inlineStr">
        <is>
          <t>Nominal</t>
        </is>
      </c>
      <c r="E50" s="4" t="inlineStr">
        <is>
          <t>Produits avec stock UG ; back-end déployé</t>
        </is>
      </c>
      <c r="F50" s="4" t="inlineStr">
        <is>
          <t>Ouvrir l'onglet Suivi UG.</t>
        </is>
      </c>
      <c r="G50" s="4" t="inlineStr">
        <is>
          <t>Grille avec colonnes CIP, NOM, PRIX ACHAT, PRIX VENTE, STOCK, STOCK UG ; produits ayant du stock UG (&gt;0).</t>
        </is>
      </c>
      <c r="H50" s="4" t="inlineStr"/>
      <c r="I50" s="12" t="inlineStr"/>
      <c r="J50" s="12" t="inlineStr"/>
      <c r="K50" s="4" t="inlineStr"/>
    </row>
    <row r="51" ht="58" customHeight="1">
      <c r="A51" s="12" t="inlineStr">
        <is>
          <t>R12-04</t>
        </is>
      </c>
      <c r="B51" s="12" t="inlineStr">
        <is>
          <t>12</t>
        </is>
      </c>
      <c r="C51" s="4" t="inlineStr">
        <is>
          <t>Recherche Suivi UG</t>
        </is>
      </c>
      <c r="D51" s="17" t="inlineStr">
        <is>
          <t>Nominal</t>
        </is>
      </c>
      <c r="E51" s="4" t="inlineStr">
        <is>
          <t>Onglet Suivi UG</t>
        </is>
      </c>
      <c r="F51" s="4" t="inlineStr">
        <is>
          <t>Saisir un CIP ou un nom puis valider.</t>
        </is>
      </c>
      <c r="G51" s="4" t="inlineStr">
        <is>
          <t>La liste est filtrée selon la saisie.</t>
        </is>
      </c>
      <c r="H51" s="4" t="inlineStr"/>
      <c r="I51" s="12" t="inlineStr"/>
      <c r="J51" s="12" t="inlineStr"/>
      <c r="K51" s="4" t="inlineStr"/>
    </row>
    <row r="52" ht="58" customHeight="1">
      <c r="A52" s="12" t="inlineStr">
        <is>
          <t>R12-05</t>
        </is>
      </c>
      <c r="B52" s="12" t="inlineStr">
        <is>
          <t>12</t>
        </is>
      </c>
      <c r="C52" s="4" t="inlineStr">
        <is>
          <t>Impression Suivi UG</t>
        </is>
      </c>
      <c r="D52" s="17" t="inlineStr">
        <is>
          <t>Nominal</t>
        </is>
      </c>
      <c r="E52" s="4" t="inlineStr">
        <is>
          <t>Onglet Suivi UG</t>
        </is>
      </c>
      <c r="F52" s="4" t="inlineStr">
        <is>
          <t>Cliquer Imprimer.</t>
        </is>
      </c>
      <c r="G52" s="4" t="inlineStr">
        <is>
          <t>Fenêtre imprimable avec les 6 colonnes.</t>
        </is>
      </c>
      <c r="H52" s="4" t="inlineStr"/>
      <c r="I52" s="12" t="inlineStr"/>
      <c r="J52" s="12" t="inlineStr"/>
      <c r="K52" s="4" t="inlineStr"/>
    </row>
    <row r="53" ht="58" customHeight="1">
      <c r="A53" s="12" t="inlineStr">
        <is>
          <t>R12-06</t>
        </is>
      </c>
      <c r="B53" s="12" t="inlineStr">
        <is>
          <t>12</t>
        </is>
      </c>
      <c r="C53" s="4" t="inlineStr">
        <is>
          <t>Export CSV / Excel</t>
        </is>
      </c>
      <c r="D53" s="17" t="inlineStr">
        <is>
          <t>Nominal</t>
        </is>
      </c>
      <c r="E53" s="4" t="inlineStr">
        <is>
          <t>Onglet Suivi UG</t>
        </is>
      </c>
      <c r="F53" s="4" t="inlineStr">
        <is>
          <t>Cliquer Export CSV puis Export EXCEL.</t>
        </is>
      </c>
      <c r="G53" s="4" t="inlineStr">
        <is>
          <t>Un fichier est téléchargé avec les données (accents corrects).</t>
        </is>
      </c>
      <c r="H53" s="4" t="inlineStr"/>
      <c r="I53" s="12" t="inlineStr"/>
      <c r="J53" s="12" t="inlineStr"/>
      <c r="K53" s="4" t="inlineStr"/>
    </row>
    <row r="54" ht="58" customHeight="1">
      <c r="A54" s="12" t="inlineStr">
        <is>
          <t>R12-07</t>
        </is>
      </c>
      <c r="B54" s="12" t="inlineStr">
        <is>
          <t>12</t>
        </is>
      </c>
      <c r="C54" s="4" t="inlineStr">
        <is>
          <t>Générer suggestion</t>
        </is>
      </c>
      <c r="D54" s="17" t="inlineStr">
        <is>
          <t>Nominal</t>
        </is>
      </c>
      <c r="E54" s="4" t="inlineStr">
        <is>
          <t>Back-end déployé</t>
        </is>
      </c>
      <c r="F54" s="4" t="inlineStr">
        <is>
          <t>Cliquer « Generer suggestion ».</t>
        </is>
      </c>
      <c r="G54" s="4" t="inlineStr">
        <is>
          <t>Une suggestion est créée à partir des produits à UG ; redirection possible vers Liste Suggestion.</t>
        </is>
      </c>
      <c r="H54" s="4" t="inlineStr"/>
      <c r="I54" s="12" t="inlineStr"/>
      <c r="J54" s="12" t="inlineStr"/>
      <c r="K54" s="4" t="inlineStr"/>
    </row>
    <row r="55" ht="58" customHeight="1">
      <c r="A55" s="12" t="inlineStr">
        <is>
          <t>R12-08</t>
        </is>
      </c>
      <c r="B55" s="12" t="inlineStr">
        <is>
          <t>12</t>
        </is>
      </c>
      <c r="C55" s="4" t="inlineStr">
        <is>
          <t>Créer inventaire</t>
        </is>
      </c>
      <c r="D55" s="17" t="inlineStr">
        <is>
          <t>Nominal</t>
        </is>
      </c>
      <c r="E55" s="4" t="inlineStr">
        <is>
          <t>Back-end déployé</t>
        </is>
      </c>
      <c r="F55" s="4" t="inlineStr">
        <is>
          <t>Cliquer « Creer inventaire ».</t>
        </is>
      </c>
      <c r="G55" s="4" t="inlineStr">
        <is>
          <t>Un inventaire est créé à partir des produits à UG ; redirection vers Gestion des inventaires.</t>
        </is>
      </c>
      <c r="H55" s="4" t="inlineStr"/>
      <c r="I55" s="12" t="inlineStr"/>
      <c r="J55" s="12" t="inlineStr"/>
      <c r="K55" s="4" t="inlineStr"/>
    </row>
    <row r="56" ht="58" customHeight="1">
      <c r="A56" s="12" t="inlineStr">
        <is>
          <t>R12-09</t>
        </is>
      </c>
      <c r="B56" s="12" t="inlineStr">
        <is>
          <t>12</t>
        </is>
      </c>
      <c r="C56" s="4" t="inlineStr">
        <is>
          <t>Actions sur les 2 onglets</t>
        </is>
      </c>
      <c r="D56" s="17" t="inlineStr">
        <is>
          <t>Nominal</t>
        </is>
      </c>
      <c r="E56" s="4" t="inlineStr">
        <is>
          <t>-</t>
        </is>
      </c>
      <c r="F56" s="4" t="inlineStr">
        <is>
          <t>Vérifier la présence de « Generer suggestion » et « Creer inventaire » sur les deux onglets.</t>
        </is>
      </c>
      <c r="G56" s="4" t="inlineStr">
        <is>
          <t>Les deux actions sont disponibles sur l'onglet historique et sur l'onglet Suivi UG.</t>
        </is>
      </c>
      <c r="H56" s="4" t="inlineStr"/>
      <c r="I56" s="12" t="inlineStr"/>
      <c r="J56" s="12" t="inlineStr"/>
      <c r="K56" s="4" t="inlineStr"/>
    </row>
    <row r="57" ht="58" customHeight="1">
      <c r="A57" s="12" t="inlineStr">
        <is>
          <t>R12-10</t>
        </is>
      </c>
      <c r="B57" s="12" t="inlineStr">
        <is>
          <t>12</t>
        </is>
      </c>
      <c r="C57" s="4" t="inlineStr">
        <is>
          <t>Aucun produit UG</t>
        </is>
      </c>
      <c r="D57" s="18" t="inlineStr">
        <is>
          <t>Limite</t>
        </is>
      </c>
      <c r="E57" s="4" t="inlineStr">
        <is>
          <t>Aucun produit avec stock UG</t>
        </is>
      </c>
      <c r="F57" s="4" t="inlineStr">
        <is>
          <t>Cliquer « Creer inventaire ».</t>
        </is>
      </c>
      <c r="G57" s="4" t="inlineStr">
        <is>
          <t>Message « Aucun produit à UG à inventorier » ; aucun inventaire créé.</t>
        </is>
      </c>
      <c r="H57" s="4" t="inlineStr"/>
      <c r="I57" s="12" t="inlineStr"/>
      <c r="J57" s="12" t="inlineStr"/>
      <c r="K57" s="4" t="inlineStr"/>
    </row>
  </sheetData>
  <autoFilter ref="A1:K57"/>
  <conditionalFormatting sqref="I2:I57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"Bloqué"</formula>
    </cfRule>
  </conditionalFormatting>
  <dataValidations count="2">
    <dataValidation sqref="I2:I57" showDropDown="0" showInputMessage="0" showErrorMessage="0" allowBlank="1" error="Choisir : OK, KO, Bloqué ou N/A" prompt="Statut du test" type="list">
      <formula1>"OK,KO,Bloqué,N/A"</formula1>
    </dataValidation>
    <dataValidation sqref="J2:J57" showDropDown="0" showInputMessage="0" showErrorMessage="0" allowBlank="1" prompt="Sévérité si anomalie" type="list">
      <formula1>"-,Mineur,Majeur,Bloquant"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2026-07-08T02:15:33Z</dcterms:created>
  <dcterms:modified xsi:type="dcterms:W3CDTF">2026-07-08T02:15:33Z</dcterms:modified>
</cp:coreProperties>
</file>