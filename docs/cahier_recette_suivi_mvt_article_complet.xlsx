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hier de recet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<sst xmlns="http://schemas.openxmlformats.org/spreadsheetml/2006/main" count="133" uniqueCount="129">
  <si>
    <t xml:space="preserve">CAHIER DE RECETTE — Suivi mouvement article complet (intégration des mouvements de réserve)</t>
  </si>
  <si>
    <t xml:space="preserve">Application Prestige — branche claude/suivi-mouvement-article-oh1r8i — Prérequis généraux : migrations V6.7.1 (index réserve), V6.7.2 (menu) et V6.7.3 (index HMvtProduit) exécutées, reconnexion faite, cache navigateur vidé, un produit de test suivi en réserve (bool_RESERVE=1) avec stock rayon &gt; 0. L'écran « Suivi mouvement article 2 » reste inchangé.</t>
  </si>
  <si>
    <t xml:space="preserve">Testeur :</t>
  </si>
  <si>
    <t xml:space="preserve">Date de la recette :</t>
  </si>
  <si>
    <t xml:space="preserve">Environnement / magasin :</t>
  </si>
  <si>
    <t xml:space="preserve">Cellules jaunes = à remplir. Statut : OK / KO / NA</t>
  </si>
  <si>
    <t xml:space="preserve">N°</t>
  </si>
  <si>
    <t xml:space="preserve">Module</t>
  </si>
  <si>
    <t xml:space="preserve">Cas de test</t>
  </si>
  <si>
    <t xml:space="preserve">Étapes / données de test</t>
  </si>
  <si>
    <t xml:space="preserve">Résultat attendu</t>
  </si>
  <si>
    <t xml:space="preserve">Statut</t>
  </si>
  <si>
    <t xml:space="preserve">Commentaire</t>
  </si>
  <si>
    <t xml:space="preserve">EX.</t>
  </si>
  <si>
    <t xml:space="preserve">Exemple</t>
  </si>
  <si>
    <t xml:space="preserve">Ligne d'exemple — à titre indicatif</t>
  </si>
  <si>
    <t xml:space="preserve">Exemple de saisie : exécuter le cas puis renseigner les deux dernières colonnes.</t>
  </si>
  <si>
    <t xml:space="preserve">Le résultat attendu est observé.</t>
  </si>
  <si>
    <t xml:space="preserve">OK</t>
  </si>
  <si>
    <t xml:space="preserve">Conforme, testé le 05/08/2026 par J. K.</t>
  </si>
  <si>
    <t xml:space="preserve">CR-01</t>
  </si>
  <si>
    <t xml:space="preserve">Menu &amp; droits</t>
  </si>
  <si>
    <t xml:space="preserve">Le nouveau menu apparaît pour les mêmes profils que le suivi 2</t>
  </si>
  <si>
    <t xml:space="preserve">Exécuter V6.7.1, V6.7.2 et V6.7.3, se reconnecter avec un profil ayant accès au « Suivi mouvement article 2 ».</t>
  </si>
  <si>
    <t xml:space="preserve">L'entrée « Suivi mouvement article complet » apparaît sous le même menu parent ; l'écran s'ouvre sans erreur.</t>
  </si>
  <si>
    <t xml:space="preserve">CR-02</t>
  </si>
  <si>
    <t xml:space="preserve">Écran</t>
  </si>
  <si>
    <t xml:space="preserve">Toutes les colonnes attendues sont visibles, sans filtre fabricant</t>
  </si>
  <si>
    <t xml:space="preserve">Ouvrir l'écran, lancer une recherche sur la période du jour.</t>
  </si>
  <si>
    <t xml:space="preserve">Groupes « Mouvements Sortie », « Mouvements Entrée », « Mouvements internes réserve » (Vers réserve, Vers rayon, Ajust.réserve), colonnes Qté.Inv, écart.Inv, Stock rayon, Stock réserve, Stock total ; le filtre fabricant est absent (retiré de cet écran).</t>
  </si>
  <si>
    <t xml:space="preserve">CR-03</t>
  </si>
  <si>
    <t xml:space="preserve">Non-régression</t>
  </si>
  <si>
    <t xml:space="preserve">Le suivi mouvement article 2 est inchangé</t>
  </si>
  <si>
    <t xml:space="preserve">Ouvrir l'ancien écran, mêmes filtres qu'avant l'évolution.</t>
  </si>
  <si>
    <t xml:space="preserve">Colonnes et comportement identiques à avant : aucune colonne réserve, colonne « Stock » inchangée, mêmes chiffres.</t>
  </si>
  <si>
    <t xml:space="preserve">CR-04</t>
  </si>
  <si>
    <t xml:space="preserve">Concordance</t>
  </si>
  <si>
    <t xml:space="preserve">Les colonnes communes affichent les mêmes chiffres dans les 2 écrans</t>
  </si>
  <si>
    <t xml:space="preserve">Choisir un produit avec ventes et entrées sur la période ; comparer ligne à ligne écran 2 vs écran complet.</t>
  </si>
  <si>
    <t xml:space="preserve">Vente, Ret.four, Qté.périmée, Ajustées, Décon, Entrée, Annulée, Inv et écart identiques dans les deux écrans.</t>
  </si>
  <si>
    <t xml:space="preserve">CR-05</t>
  </si>
  <si>
    <t xml:space="preserve">Mouvements internes</t>
  </si>
  <si>
    <t xml:space="preserve">Un assort (rayon → réserve) est tracé sans toucher les sorties</t>
  </si>
  <si>
    <t xml:space="preserve">Noter les stocks du produit ; faire un assort de 10 dans le module Réserve ; rafraîchir l'écran complet.</t>
  </si>
  <si>
    <t xml:space="preserve">Vers réserve = 10 ; stock rayon -10 ; stock réserve +10 ; stock total INCHANGÉ ; aucune colonne Sortie modifiée.</t>
  </si>
  <si>
    <t xml:space="preserve">CR-06</t>
  </si>
  <si>
    <t xml:space="preserve">Un réassort (réserve → rayon) est tracé sans toucher les entrées</t>
  </si>
  <si>
    <t xml:space="preserve">Faire un réassort de 6 sur le même produit ; rafraîchir.</t>
  </si>
  <si>
    <t xml:space="preserve">Vers rayon = 6 ; stock rayon +6 ; stock réserve -6 ; stock total INCHANGÉ ; aucune colonne Entrée modifiée.</t>
  </si>
  <si>
    <t xml:space="preserve">CR-07</t>
  </si>
  <si>
    <t xml:space="preserve">Un ajustement de réserve est signé et modifie le stock total</t>
  </si>
  <si>
    <t xml:space="preserve">Faire un ajustement de réserve de -4 (retrait) sur le produit ; rafraîchir.</t>
  </si>
  <si>
    <t xml:space="preserve">Ajust.réserve = -4 ; stock réserve -4 ; stock rayon inchangé ; stock total -4.</t>
  </si>
  <si>
    <t xml:space="preserve">CR-08</t>
  </si>
  <si>
    <t xml:space="preserve">Exhaustivité</t>
  </si>
  <si>
    <t xml:space="preserve">Un produit ayant bougé uniquement en réserve apparaît dans la liste</t>
  </si>
  <si>
    <t xml:space="preserve">Prendre un produit SANS vente/entrée sur la période ; faire un assort ; rechercher sur la période.</t>
  </si>
  <si>
    <t xml:space="preserve">Le produit apparaît dans l'écran complet (il est absent du suivi 2 sur la même période) : c'est le scénario qui motivait l'évolution.</t>
  </si>
  <si>
    <t xml:space="preserve">CR-09</t>
  </si>
  <si>
    <t xml:space="preserve">Détail</t>
  </si>
  <si>
    <t xml:space="preserve">Le détail des mouvements internes est complet</t>
  </si>
  <si>
    <t xml:space="preserve">Double-cliquer la cellule « Vers réserve » du produit.</t>
  </si>
  <si>
    <t xml:space="preserve">Fenêtre listant date+heure, libellé métier (REAPPRO RESERVE / REAPPRO RAYON / AJUSTEMENT RESERVE), quantité, stocks rayon et réserve avant/après, opérateur.</t>
  </si>
  <si>
    <t xml:space="preserve">CR-10</t>
  </si>
  <si>
    <t xml:space="preserve">Annulation</t>
  </si>
  <si>
    <t xml:space="preserve">Une annulation reste lisible et cohérente</t>
  </si>
  <si>
    <t xml:space="preserve">Annuler un mouvement de réserve (privilège requis) ; rouvrir le détail.</t>
  </si>
  <si>
    <t xml:space="preserve">Ligne d'origine barrée ; ligne inverse marquée « (annulation) » avec motif ; les sommes des colonnes se compensent ; stock total cohérent.</t>
  </si>
  <si>
    <t xml:space="preserve">CR-11</t>
  </si>
  <si>
    <t xml:space="preserve">Filtres</t>
  </si>
  <si>
    <t xml:space="preserve">Tous les filtres s'appliquent aussi aux mouvements internes</t>
  </si>
  <si>
    <t xml:space="preserve">Tester séparément : période, recherche CIP/nom, famille article, zone géographique.</t>
  </si>
  <si>
    <t xml:space="preserve">Chaque filtre restreint la liste ET les totaux internes ; aucun mouvement hors filtre n'est compté.</t>
  </si>
  <si>
    <t xml:space="preserve">CR-12</t>
  </si>
  <si>
    <t xml:space="preserve">Dates</t>
  </si>
  <si>
    <t xml:space="preserve">Les bornes de journée sont incluses</t>
  </si>
  <si>
    <t xml:space="preserve">Faire un assort à une heure tardive (ex. 23h50) ; rechercher sur ce seul jour.</t>
  </si>
  <si>
    <t xml:space="preserve">Le mouvement est compté dans la période (borne de fin = fin de journée incluse).</t>
  </si>
  <si>
    <t xml:space="preserve">CR-13</t>
  </si>
  <si>
    <t xml:space="preserve">Multi-magasin</t>
  </si>
  <si>
    <t xml:space="preserve">Aucune fuite entre emplacements</t>
  </si>
  <si>
    <t xml:space="preserve">Avec deux emplacements : mouvements sur le magasin A ; consulter l'écran avec un utilisateur du magasin B.</t>
  </si>
  <si>
    <t xml:space="preserve">Le magasin B ne voit ni les mouvements ni les stocks du magasin A ; totaux propres à chaque emplacement.</t>
  </si>
  <si>
    <t xml:space="preserve">CR-14</t>
  </si>
  <si>
    <t xml:space="preserve">Pagination</t>
  </si>
  <si>
    <t xml:space="preserve">Les totaux de pagination sont réels</t>
  </si>
  <si>
    <t xml:space="preserve">Rechercher une période ramenant plus de 15 produits ; naviguer ; ouvrir un détail de plus de 20 mouvements.</t>
  </si>
  <si>
    <t xml:space="preserve">Le total affiché = nombre réel de lignes filtrées (pas la taille de page) ; navigation et fenêtre de détail paginées correctement.</t>
  </si>
  <si>
    <t xml:space="preserve">CR-15</t>
  </si>
  <si>
    <t xml:space="preserve">Détail par jour</t>
  </si>
  <si>
    <t xml:space="preserve">« Voir détail » ouvre le bon produit avec les colonnes complètes</t>
  </si>
  <si>
    <t xml:space="preserve">Faire défiler la grille puis cliquer l'icône détail d'une ligne du bas.</t>
  </si>
  <si>
    <t xml:space="preserve">Le détail du BON produit s'ouvre (bug du suivi 2 corrigé). Colonnes : « Début de journée » (Stock rayon, Stock réserve), Sortie, Entrée, « Interne réserve » (Vers réserve, Vers rayon, Ajust.rés.), Qté.Inv, Ecart.Inv, « Fin de journée » (Stock rayon, Stock réserve) ; totaux Vers réserve / Vers rayon / Ajust.réserve dans le bandeau du bas.</t>
  </si>
  <si>
    <t xml:space="preserve">CR-16</t>
  </si>
  <si>
    <t xml:space="preserve">Un jour où seule la réserve a bougé apparaît dans le détail</t>
  </si>
  <si>
    <t xml:space="preserve">Choisir un jour sans vente/entrée pour le produit ; faire un assort ce jour-là ; ouvrir « Voir détail » sur une période couvrant ce jour.</t>
  </si>
  <si>
    <t xml:space="preserve">La ligne du jour existe : Vers réserve renseigné, colonnes Sortie/Entrée à zéro, stocks rayon début/fin lus dans la trace de réserve (avant du 1er mouvement / après du dernier).</t>
  </si>
  <si>
    <t xml:space="preserve">CR-17</t>
  </si>
  <si>
    <t xml:space="preserve">Le stock réserve est reporté sur les jours sans mouvement de réserve</t>
  </si>
  <si>
    <t xml:space="preserve">Période de plusieurs jours dont certains sans aucun mouvement de réserve ; comparer les colonnes Stock réserve d'un jour à l'autre.</t>
  </si>
  <si>
    <t xml:space="preserve">Les jours sans mouvement de réserve affichent le stock réserve du dernier mouvement connu (valeur constante début = fin) ; la chronologie est continue : réserve fin d'un jour = réserve début du suivant.</t>
  </si>
  <si>
    <t xml:space="preserve">CR-18</t>
  </si>
  <si>
    <t xml:space="preserve">Impression</t>
  </si>
  <si>
    <t xml:space="preserve">Le bouton « imprimer » produit un PDF A4 paysage</t>
  </si>
  <si>
    <t xml:space="preserve">Filtrer, cliquer « imprimer », examiner le PDF ouvert dans le navigateur, l'imprimer.</t>
  </si>
  <si>
    <t xml:space="preserve">PDF A4 paysage lisible : en-têtes groupés sur 2 lignes (Sortie / Entrée / Mouvements internes réserve) répétés à chaque page, toutes les lignes filtrées, colonnes Stock rayon / réserve / total.</t>
  </si>
  <si>
    <t xml:space="preserve">CR-19</t>
  </si>
  <si>
    <t xml:space="preserve">Export</t>
  </si>
  <si>
    <t xml:space="preserve">L'export Excel couvre toutes les lignes filtrées</t>
  </si>
  <si>
    <t xml:space="preserve">Filtrer, cliquer « exporter », ouvrir le fichier téléchargé.</t>
  </si>
  <si>
    <t xml:space="preserve">Fichier .xls lisible : 20 colonnes dont Vers réserve, Vers rayon, Ajust. réserve et les 3 stocks ; toutes les lignes filtrées, pas seulement la page affichée.</t>
  </si>
  <si>
    <t xml:space="preserve">CR-20</t>
  </si>
  <si>
    <t xml:space="preserve">Sécurité</t>
  </si>
  <si>
    <t xml:space="preserve">Aucune donnée sans session</t>
  </si>
  <si>
    <t xml:space="preserve">Hors session (navigation privée), appeler /api/v1/produit/monitoring-complet puis /api/v1/reserve/mouvements/{id}.</t>
  </si>
  <si>
    <t xml:space="preserve">Les deux appels renvoient le message de déconnexion, aucune donnée métier n'est exposée.</t>
  </si>
  <si>
    <t xml:space="preserve">CR-21</t>
  </si>
  <si>
    <t xml:space="preserve">Performance</t>
  </si>
  <si>
    <t xml:space="preserve">L'écran et le détail restent fluides sur une longue période</t>
  </si>
  <si>
    <t xml:space="preserve">Rechercher 3 mois sans filtre produit sur un volume représentatif (index V6.7.1 et V6.7.3 posés) ; ouvrir un « Voir détail ».</t>
  </si>
  <si>
    <t xml:space="preserve">Affichage de la page en moins de 5 secondes ; navigation de pages et fenêtre de détail fluides.</t>
  </si>
  <si>
    <t xml:space="preserve">SYNTHÈSE (calcul automatique d'après la colonne Statut)</t>
  </si>
  <si>
    <t xml:space="preserve">Nb de cas :</t>
  </si>
  <si>
    <t xml:space="preserve">OK :</t>
  </si>
  <si>
    <t xml:space="preserve">KO :</t>
  </si>
  <si>
    <t xml:space="preserve">NA :</t>
  </si>
  <si>
    <t xml:space="preserve">Restant :</t>
  </si>
  <si>
    <t xml:space="preserve">Avancement :</t>
  </si>
  <si>
    <t xml:space="preserve">Validation (nom + signature) 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</si>
</sst>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46"/>
    <col collapsed="false" customWidth="true" hidden="false" outlineLevel="0" max="5" min="5" style="0" width="48"/>
    <col collapsed="false" customWidth="true" hidden="false" outlineLevel="0" max="6" min="6" style="0" width="8"/>
    <col collapsed="false" customWidth="true" hidden="false" outlineLevel="0" max="7" min="7" style="0" width="26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  <c r="F3" s="4"/>
      <c r="G3" s="5" t="s">
        <v>5</v>
      </c>
    </row>
    <row r="5" customFormat="false" ht="13.5" hidden="false" customHeight="true" outlineLevel="0" collapsed="false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</row>
    <row r="6" customFormat="false" ht="12" hidden="false" customHeight="true" outlineLevel="0" collapsed="false">
      <c r="A6" s="7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7" t="s">
        <v>18</v>
      </c>
      <c r="G6" s="8" t="s">
        <v>19</v>
      </c>
    </row>
    <row r="7" customFormat="false" ht="21" hidden="false" customHeight="true" outlineLevel="0" collapsed="false">
      <c r="A7" s="9" t="s">
        <v>20</v>
      </c>
      <c r="B7" s="10" t="s">
        <v>21</v>
      </c>
      <c r="C7" s="11" t="s">
        <v>22</v>
      </c>
      <c r="D7" s="11" t="s">
        <v>23</v>
      </c>
      <c r="E7" s="11" t="s">
        <v>24</v>
      </c>
      <c r="F7" s="12"/>
      <c r="G7" s="13"/>
    </row>
    <row r="8" customFormat="false" ht="39.75" hidden="false" customHeight="true" outlineLevel="0" collapsed="false">
      <c r="A8" s="9" t="s">
        <v>25</v>
      </c>
      <c r="B8" s="10" t="s">
        <v>26</v>
      </c>
      <c r="C8" s="11" t="s">
        <v>27</v>
      </c>
      <c r="D8" s="11" t="s">
        <v>28</v>
      </c>
      <c r="E8" s="11" t="s">
        <v>29</v>
      </c>
      <c r="F8" s="12"/>
      <c r="G8" s="13"/>
    </row>
    <row r="9" customFormat="false" ht="21" hidden="false" customHeight="true" outlineLevel="0" collapsed="false">
      <c r="A9" s="9" t="s">
        <v>30</v>
      </c>
      <c r="B9" s="10" t="s">
        <v>31</v>
      </c>
      <c r="C9" s="11" t="s">
        <v>32</v>
      </c>
      <c r="D9" s="11" t="s">
        <v>33</v>
      </c>
      <c r="E9" s="11" t="s">
        <v>34</v>
      </c>
      <c r="F9" s="12"/>
      <c r="G9" s="13"/>
    </row>
    <row r="10" customFormat="false" ht="21" hidden="false" customHeight="true" outlineLevel="0" collapsed="false">
      <c r="A10" s="9" t="s">
        <v>35</v>
      </c>
      <c r="B10" s="10" t="s">
        <v>36</v>
      </c>
      <c r="C10" s="11" t="s">
        <v>37</v>
      </c>
      <c r="D10" s="11" t="s">
        <v>38</v>
      </c>
      <c r="E10" s="11" t="s">
        <v>39</v>
      </c>
      <c r="F10" s="12"/>
      <c r="G10" s="13"/>
    </row>
    <row r="11" customFormat="false" ht="21" hidden="false" customHeight="true" outlineLevel="0" collapsed="false">
      <c r="A11" s="9" t="s">
        <v>40</v>
      </c>
      <c r="B11" s="10" t="s">
        <v>41</v>
      </c>
      <c r="C11" s="11" t="s">
        <v>42</v>
      </c>
      <c r="D11" s="11" t="s">
        <v>43</v>
      </c>
      <c r="E11" s="11" t="s">
        <v>44</v>
      </c>
      <c r="F11" s="12"/>
      <c r="G11" s="13"/>
    </row>
    <row r="12" customFormat="false" ht="21" hidden="false" customHeight="true" outlineLevel="0" collapsed="false">
      <c r="A12" s="9" t="s">
        <v>45</v>
      </c>
      <c r="B12" s="10" t="s">
        <v>41</v>
      </c>
      <c r="C12" s="11" t="s">
        <v>46</v>
      </c>
      <c r="D12" s="11" t="s">
        <v>47</v>
      </c>
      <c r="E12" s="11" t="s">
        <v>48</v>
      </c>
      <c r="F12" s="12"/>
      <c r="G12" s="13"/>
    </row>
    <row r="13" customFormat="false" ht="21" hidden="false" customHeight="true" outlineLevel="0" collapsed="false">
      <c r="A13" s="9" t="s">
        <v>49</v>
      </c>
      <c r="B13" s="10" t="s">
        <v>41</v>
      </c>
      <c r="C13" s="11" t="s">
        <v>50</v>
      </c>
      <c r="D13" s="11" t="s">
        <v>51</v>
      </c>
      <c r="E13" s="11" t="s">
        <v>52</v>
      </c>
      <c r="F13" s="12"/>
      <c r="G13" s="13"/>
    </row>
    <row r="14" customFormat="false" ht="21" hidden="false" customHeight="true" outlineLevel="0" collapsed="false">
      <c r="A14" s="9" t="s">
        <v>53</v>
      </c>
      <c r="B14" s="10" t="s">
        <v>54</v>
      </c>
      <c r="C14" s="11" t="s">
        <v>55</v>
      </c>
      <c r="D14" s="11" t="s">
        <v>56</v>
      </c>
      <c r="E14" s="11" t="s">
        <v>57</v>
      </c>
      <c r="F14" s="12"/>
      <c r="G14" s="13"/>
    </row>
    <row r="15" customFormat="false" ht="21" hidden="false" customHeight="true" outlineLevel="0" collapsed="false">
      <c r="A15" s="9" t="s">
        <v>58</v>
      </c>
      <c r="B15" s="10" t="s">
        <v>59</v>
      </c>
      <c r="C15" s="11" t="s">
        <v>60</v>
      </c>
      <c r="D15" s="11" t="s">
        <v>61</v>
      </c>
      <c r="E15" s="11" t="s">
        <v>62</v>
      </c>
      <c r="F15" s="12"/>
      <c r="G15" s="13"/>
    </row>
    <row r="16" customFormat="false" ht="21" hidden="false" customHeight="true" outlineLevel="0" collapsed="false">
      <c r="A16" s="9" t="s">
        <v>63</v>
      </c>
      <c r="B16" s="10" t="s">
        <v>64</v>
      </c>
      <c r="C16" s="11" t="s">
        <v>65</v>
      </c>
      <c r="D16" s="11" t="s">
        <v>66</v>
      </c>
      <c r="E16" s="11" t="s">
        <v>67</v>
      </c>
      <c r="F16" s="12"/>
      <c r="G16" s="13"/>
    </row>
    <row r="17" customFormat="false" ht="21" hidden="false" customHeight="true" outlineLevel="0" collapsed="false">
      <c r="A17" s="9" t="s">
        <v>68</v>
      </c>
      <c r="B17" s="10" t="s">
        <v>69</v>
      </c>
      <c r="C17" s="11" t="s">
        <v>70</v>
      </c>
      <c r="D17" s="11" t="s">
        <v>71</v>
      </c>
      <c r="E17" s="11" t="s">
        <v>72</v>
      </c>
      <c r="F17" s="12"/>
      <c r="G17" s="13"/>
    </row>
    <row r="18" customFormat="false" ht="12" hidden="false" customHeight="true" outlineLevel="0" collapsed="false">
      <c r="A18" s="9" t="s">
        <v>73</v>
      </c>
      <c r="B18" s="10" t="s">
        <v>74</v>
      </c>
      <c r="C18" s="11" t="s">
        <v>75</v>
      </c>
      <c r="D18" s="11" t="s">
        <v>76</v>
      </c>
      <c r="E18" s="11" t="s">
        <v>77</v>
      </c>
      <c r="F18" s="12"/>
      <c r="G18" s="13"/>
    </row>
    <row r="19" customFormat="false" ht="21" hidden="false" customHeight="true" outlineLevel="0" collapsed="false">
      <c r="A19" s="9" t="s">
        <v>78</v>
      </c>
      <c r="B19" s="10" t="s">
        <v>79</v>
      </c>
      <c r="C19" s="11" t="s">
        <v>80</v>
      </c>
      <c r="D19" s="11" t="s">
        <v>81</v>
      </c>
      <c r="E19" s="11" t="s">
        <v>82</v>
      </c>
      <c r="F19" s="12"/>
      <c r="G19" s="13"/>
    </row>
    <row r="20" customFormat="false" ht="21" hidden="false" customHeight="true" outlineLevel="0" collapsed="false">
      <c r="A20" s="9" t="s">
        <v>83</v>
      </c>
      <c r="B20" s="10" t="s">
        <v>84</v>
      </c>
      <c r="C20" s="11" t="s">
        <v>85</v>
      </c>
      <c r="D20" s="11" t="s">
        <v>86</v>
      </c>
      <c r="E20" s="11" t="s">
        <v>87</v>
      </c>
      <c r="F20" s="12"/>
      <c r="G20" s="13"/>
    </row>
    <row r="21" customFormat="false" ht="49.5" hidden="false" customHeight="true" outlineLevel="0" collapsed="false">
      <c r="A21" s="9" t="s">
        <v>88</v>
      </c>
      <c r="B21" s="10" t="s">
        <v>89</v>
      </c>
      <c r="C21" s="11" t="s">
        <v>90</v>
      </c>
      <c r="D21" s="11" t="s">
        <v>91</v>
      </c>
      <c r="E21" s="11" t="s">
        <v>92</v>
      </c>
      <c r="F21" s="12"/>
      <c r="G21" s="13"/>
    </row>
    <row r="22" customFormat="false" ht="30" hidden="false" customHeight="true" outlineLevel="0" collapsed="false">
      <c r="A22" s="9" t="s">
        <v>93</v>
      </c>
      <c r="B22" s="10" t="s">
        <v>89</v>
      </c>
      <c r="C22" s="11" t="s">
        <v>94</v>
      </c>
      <c r="D22" s="11" t="s">
        <v>95</v>
      </c>
      <c r="E22" s="11" t="s">
        <v>96</v>
      </c>
      <c r="F22" s="12"/>
      <c r="G22" s="13"/>
    </row>
    <row r="23" customFormat="false" ht="30" hidden="false" customHeight="true" outlineLevel="0" collapsed="false">
      <c r="A23" s="9" t="s">
        <v>97</v>
      </c>
      <c r="B23" s="10" t="s">
        <v>89</v>
      </c>
      <c r="C23" s="11" t="s">
        <v>98</v>
      </c>
      <c r="D23" s="11" t="s">
        <v>99</v>
      </c>
      <c r="E23" s="11" t="s">
        <v>100</v>
      </c>
      <c r="F23" s="12"/>
      <c r="G23" s="13"/>
    </row>
    <row r="24" customFormat="false" ht="30" hidden="false" customHeight="true" outlineLevel="0" collapsed="false">
      <c r="A24" s="9" t="s">
        <v>101</v>
      </c>
      <c r="B24" s="10" t="s">
        <v>102</v>
      </c>
      <c r="C24" s="11" t="s">
        <v>103</v>
      </c>
      <c r="D24" s="11" t="s">
        <v>104</v>
      </c>
      <c r="E24" s="11" t="s">
        <v>105</v>
      </c>
      <c r="F24" s="12"/>
      <c r="G24" s="13"/>
    </row>
    <row r="25" customFormat="false" ht="21" hidden="false" customHeight="true" outlineLevel="0" collapsed="false">
      <c r="A25" s="9" t="s">
        <v>106</v>
      </c>
      <c r="B25" s="10" t="s">
        <v>107</v>
      </c>
      <c r="C25" s="11" t="s">
        <v>108</v>
      </c>
      <c r="D25" s="11" t="s">
        <v>109</v>
      </c>
      <c r="E25" s="11" t="s">
        <v>110</v>
      </c>
      <c r="F25" s="12"/>
      <c r="G25" s="13"/>
    </row>
    <row r="26" customFormat="false" ht="21" hidden="false" customHeight="true" outlineLevel="0" collapsed="false">
      <c r="A26" s="9" t="s">
        <v>111</v>
      </c>
      <c r="B26" s="10" t="s">
        <v>112</v>
      </c>
      <c r="C26" s="11" t="s">
        <v>113</v>
      </c>
      <c r="D26" s="11" t="s">
        <v>114</v>
      </c>
      <c r="E26" s="11" t="s">
        <v>115</v>
      </c>
      <c r="F26" s="12"/>
      <c r="G26" s="13"/>
    </row>
    <row r="27" customFormat="false" ht="21" hidden="false" customHeight="true" outlineLevel="0" collapsed="false">
      <c r="A27" s="9" t="s">
        <v>116</v>
      </c>
      <c r="B27" s="10" t="s">
        <v>117</v>
      </c>
      <c r="C27" s="11" t="s">
        <v>118</v>
      </c>
      <c r="D27" s="11" t="s">
        <v>119</v>
      </c>
      <c r="E27" s="11" t="s">
        <v>120</v>
      </c>
      <c r="F27" s="12"/>
      <c r="G27" s="13"/>
    </row>
    <row r="28" customFormat="false" ht="15" hidden="false" customHeight="false" outlineLevel="0" collapsed="false">
      <c r="A28" s="3" t="s">
        <v>121</v>
      </c>
    </row>
    <row r="29" customFormat="false" ht="15" hidden="false" customHeight="false" outlineLevel="0" collapsed="false">
      <c r="A29" s="14" t="s">
        <v>122</v>
      </c>
      <c r="B29" s="14" t="s">
        <v>123</v>
      </c>
      <c r="C29" s="14" t="s">
        <v>124</v>
      </c>
      <c r="D29" s="14" t="s">
        <v>125</v>
      </c>
      <c r="E29" s="14" t="s">
        <v>126</v>
      </c>
      <c r="F29" s="14" t="s">
        <v>127</v>
      </c>
      <c r="G29" s="15" t="s">
        <v>128</v>
      </c>
    </row>
    <row r="30" customFormat="false" ht="15" hidden="false" customHeight="false" outlineLevel="0" collapsed="false">
      <c r="A30" s="16" t="n">
        <f aca="false">COUNTA(A7:A27)</f>
        <v>21</v>
      </c>
      <c r="B30" s="16" t="n">
        <f aca="false">COUNTIF(F7:F27,"OK")</f>
        <v>0</v>
      </c>
      <c r="C30" s="16" t="n">
        <f aca="false">COUNTIF(F7:F27,"KO")</f>
        <v>0</v>
      </c>
      <c r="D30" s="16" t="n">
        <f aca="false">COUNTIF(F7:F27,"NA")</f>
        <v>0</v>
      </c>
      <c r="E30" s="16" t="n">
        <f aca="false">A30-B30-C30-D30</f>
        <v>21</v>
      </c>
      <c r="F30" s="17" t="n">
        <f aca="false">IF(A30=0,0,(B30+C30+D30)/A30)</f>
        <v>0</v>
      </c>
      <c r="G30" s="15"/>
    </row>
  </sheetData>
  <mergeCells count="3">
    <mergeCell ref="A1:G1"/>
    <mergeCell ref="A2:G2"/>
    <mergeCell ref="G29:G30"/>
  </mergeCells>
  <dataValidations count="1">
    <dataValidation allowBlank="true" error="Valeurs autorisées : OK, KO ou NA" errorStyle="stop" operator="between" showDropDown="false" showErrorMessage="true" showInputMessage="false" sqref="F7:F27" type="list">
      <formula1>"OK,KO,NA"</formula1>
      <formula2>0</formula2>
    </dataValidation>
  </dataValidations>
  <printOptions headings="false" gridLines="false" gridLinesSet="true" horizontalCentered="true" verticalCentered="false"/>
  <pageMargins left="0.25" right="0.25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2026-08-06T22:46:48Z</dcterms:created>
  <dc:creator>openpyxl</dc:creator>
  <dc:description/>
  <dc:language>en-US</dc:language>
  <cp:lastModifiedBy/>
  <dcterms:modified xsi:type="dcterms:W3CDTF">2026-08-06T22:46:48Z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